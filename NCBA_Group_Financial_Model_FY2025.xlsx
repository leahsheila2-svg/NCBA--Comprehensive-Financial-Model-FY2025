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Assumptions" sheetId="2" state="visible" r:id="rId4"/>
    <sheet name="Income Statement" sheetId="3" state="visible" r:id="rId5"/>
    <sheet name="Balance Sheet" sheetId="4" state="visible" r:id="rId6"/>
    <sheet name="Cash Flow Statement" sheetId="5" state="visible" r:id="rId7"/>
    <sheet name="DCF Valuation" sheetId="6" state="visible" r:id="rId8"/>
    <sheet name="Multiples Valuation" sheetId="7" state="visible" r:id="rId9"/>
    <sheet name="Returns &amp; MOIC" sheetId="8" state="visible" r:id="rId10"/>
    <sheet name="Sensitivity Analysis" sheetId="9" state="visible" r:id="rId11"/>
    <sheet name="Summary &amp; Recommendation" sheetId="10"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<sst xmlns="http://schemas.openxmlformats.org/spreadsheetml/2006/main" count="535" uniqueCount="440">
  <si>
    <t xml:space="preserve">NCBA GROUP PLC — COMPREHENSIVE FINANCIAL MODEL</t>
  </si>
  <si>
    <t xml:space="preserve">Nairobi Securities Exchange  |  NSE: NCBA  |  Banking &amp; Financial Services</t>
  </si>
  <si>
    <t xml:space="preserve">Company Overview:</t>
  </si>
  <si>
    <t xml:space="preserve">NCBA Group PLC is a full-service banking group listed on the NSE, operating in Kenya, Tanzania, Uganda, Rwanda, Côte d'Ivoire and Ghana. The Group offers retail, corporate and digital banking, insurance and investment services. FY2025 PAT: KES 23.4 bn.</t>
  </si>
  <si>
    <t xml:space="preserve">Ticker Symbol</t>
  </si>
  <si>
    <t xml:space="preserve">NSE: NCBA</t>
  </si>
  <si>
    <t xml:space="preserve">Sector</t>
  </si>
  <si>
    <t xml:space="preserve">Banking &amp; Financial Services</t>
  </si>
  <si>
    <t xml:space="preserve">Reporting Currency</t>
  </si>
  <si>
    <t xml:space="preserve">Kenya Shillings (KES '000)</t>
  </si>
  <si>
    <t xml:space="preserve">Model Base Year</t>
  </si>
  <si>
    <t xml:space="preserve">FY2025 (Year ended 31 December 2025)</t>
  </si>
  <si>
    <t xml:space="preserve">Report Source</t>
  </si>
  <si>
    <t xml:space="preserve">NCBA Group PLC Annual Report &amp; Financial Statements FY2025</t>
  </si>
  <si>
    <t xml:space="preserve">Auditors</t>
  </si>
  <si>
    <t xml:space="preserve">Deloitte &amp; Touche LLP, Kenya</t>
  </si>
  <si>
    <t xml:space="preserve">Shares Outstanding</t>
  </si>
  <si>
    <t xml:space="preserve">1,647,519,000 ordinary shares</t>
  </si>
  <si>
    <t xml:space="preserve">HOW TO USE THIS MODEL</t>
  </si>
  <si>
    <t xml:space="preserve">1. Assumptions</t>
  </si>
  <si>
    <t xml:space="preserve">Set macro, growth, margin, WACC and valuation inputs (yellow cells = key drivers)</t>
  </si>
  <si>
    <t xml:space="preserve">2. Income Statement</t>
  </si>
  <si>
    <t xml:space="preserve">Historical FY2024 &amp; FY2025 actuals; 5-year projections auto-calculated</t>
  </si>
  <si>
    <t xml:space="preserve">3. Balance Sheet</t>
  </si>
  <si>
    <t xml:space="preserve">Historical balance sheet with projected loan, deposit &amp; equity growth</t>
  </si>
  <si>
    <t xml:space="preserve">4. Cash Flow</t>
  </si>
  <si>
    <t xml:space="preserve">Operating, investing and financing cash flows — historical &amp; projected</t>
  </si>
  <si>
    <t xml:space="preserve">5. DCF Valuation</t>
  </si>
  <si>
    <t xml:space="preserve">FCFE-based discounted cash flow to intrinsic value per share</t>
  </si>
  <si>
    <t xml:space="preserve">6. Multiples Valuation</t>
  </si>
  <si>
    <t xml:space="preserve">P/E, P/B, EV/EBITDA, Dividend Yield comparable multiples</t>
  </si>
  <si>
    <t xml:space="preserve">7. Returns &amp; MOIC</t>
  </si>
  <si>
    <t xml:space="preserve">IRR, NPV, ROI, MOIC from a 5-year equity investment perspective</t>
  </si>
  <si>
    <t xml:space="preserve">8. Sensitivity Analysis</t>
  </si>
  <si>
    <t xml:space="preserve">Two-variable tables: WACC vs growth, entry/exit multiples, etc.</t>
  </si>
  <si>
    <t xml:space="preserve">9. Summary</t>
  </si>
  <si>
    <t xml:space="preserve">Full investment recommendation and valuation bridge</t>
  </si>
  <si>
    <t xml:space="preserve">COLOR CODE CONVENTION</t>
  </si>
  <si>
    <t xml:space="preserve">Blue Text</t>
  </si>
  <si>
    <t xml:space="preserve">User inputs — modify for scenario analysis</t>
  </si>
  <si>
    <t xml:space="preserve">Black Text</t>
  </si>
  <si>
    <t xml:space="preserve">Formulas and calculated values</t>
  </si>
  <si>
    <t xml:space="preserve">Green Text</t>
  </si>
  <si>
    <t xml:space="preserve">Links pulling from another sheet in this workbook</t>
  </si>
  <si>
    <t xml:space="preserve">Yellow Highlight</t>
  </si>
  <si>
    <t xml:space="preserve">Key assumptions requiring attention</t>
  </si>
  <si>
    <t xml:space="preserve">NCBA GROUP PLC — VALUATION ASSUMPTIONS</t>
  </si>
  <si>
    <t xml:space="preserve">All values KES '000 unless stated  |  Blue = editable input  |  Yellow = key assumption</t>
  </si>
  <si>
    <t xml:space="preserve">A. COMPANY INFORMATION</t>
  </si>
  <si>
    <t xml:space="preserve">Company Name</t>
  </si>
  <si>
    <t xml:space="preserve">NCBA Group PLC</t>
  </si>
  <si>
    <t xml:space="preserve">Current Stock Price (KES)</t>
  </si>
  <si>
    <t xml:space="preserve">Source: NSE — indicative price</t>
  </si>
  <si>
    <t xml:space="preserve">Shares Outstanding (millions)</t>
  </si>
  <si>
    <t xml:space="preserve">1,647.52</t>
  </si>
  <si>
    <t xml:space="preserve">Source: NCBA AR FY2025, Note 20</t>
  </si>
  <si>
    <t xml:space="preserve">Market Capitalisation (KES mn)</t>
  </si>
  <si>
    <t xml:space="preserve">Calculated</t>
  </si>
  <si>
    <t xml:space="preserve">Financial Year End</t>
  </si>
  <si>
    <t xml:space="preserve">31-Dec</t>
  </si>
  <si>
    <t xml:space="preserve">B. REVENUE &amp; GROWTH ASSUMPTIONS</t>
  </si>
  <si>
    <t xml:space="preserve">NII Growth Rate — FY2026E</t>
  </si>
  <si>
    <t xml:space="preserve">Normalization post rate cut cycle</t>
  </si>
  <si>
    <t xml:space="preserve">NII Growth Rate — FY2027E</t>
  </si>
  <si>
    <t xml:space="preserve">NII Growth Rate — FY2028E</t>
  </si>
  <si>
    <t xml:space="preserve">NII Growth Rate — FY2029E</t>
  </si>
  <si>
    <t xml:space="preserve">NII Growth Rate — FY2030E</t>
  </si>
  <si>
    <t xml:space="preserve">Non-Interest Income Growth — FY2026E</t>
  </si>
  <si>
    <t xml:space="preserve">Non-Interest Income Growth — FY2027E</t>
  </si>
  <si>
    <t xml:space="preserve">Non-Interest Income Growth — FY2028E</t>
  </si>
  <si>
    <t xml:space="preserve">Non-Interest Income Growth — FY2029E</t>
  </si>
  <si>
    <t xml:space="preserve">Non-Interest Income Growth — FY2030E</t>
  </si>
  <si>
    <t xml:space="preserve">Operating Expense Growth — FY2026E</t>
  </si>
  <si>
    <t xml:space="preserve">Headcount + investment costs</t>
  </si>
  <si>
    <t xml:space="preserve">Operating Expense Growth — FY2027E</t>
  </si>
  <si>
    <t xml:space="preserve">Operating Expense Growth — FY2028E</t>
  </si>
  <si>
    <t xml:space="preserve">Operating Expense Growth — FY2029E</t>
  </si>
  <si>
    <t xml:space="preserve">Operating Expense Growth — FY2030E</t>
  </si>
  <si>
    <t xml:space="preserve">Credit Impairment / Net Operating Income</t>
  </si>
  <si>
    <t xml:space="preserve">FY2025 basis: 6,902/71,832</t>
  </si>
  <si>
    <t xml:space="preserve">Loan Growth Rate (annual)</t>
  </si>
  <si>
    <t xml:space="preserve">Deposit Growth Rate (annual)</t>
  </si>
  <si>
    <t xml:space="preserve">Terminal Growth Rate (DCF)</t>
  </si>
  <si>
    <t xml:space="preserve">Long-run nominal GDP</t>
  </si>
  <si>
    <t xml:space="preserve">C. MARGIN &amp; VALUATION ASSUMPTIONS</t>
  </si>
  <si>
    <t xml:space="preserve">EBITDA Margin %</t>
  </si>
  <si>
    <t xml:space="preserve">Approx. NII+NIInc-Opex/Total Income</t>
  </si>
  <si>
    <t xml:space="preserve">Effective Tax Rate %</t>
  </si>
  <si>
    <t xml:space="preserve">FY2025 actual: 4,497/27,890</t>
  </si>
  <si>
    <t xml:space="preserve">Dividend Payout Ratio %</t>
  </si>
  <si>
    <t xml:space="preserve">FY2025: DPS 7.10 / EPS 14.20</t>
  </si>
  <si>
    <t xml:space="preserve">Target ROE</t>
  </si>
  <si>
    <t xml:space="preserve">WACC / Discount Rate %</t>
  </si>
  <si>
    <t xml:space="preserve">See WACC breakdown below</t>
  </si>
  <si>
    <t xml:space="preserve">Entry Share Price (KES)</t>
  </si>
  <si>
    <t xml:space="preserve">Current NSE market price</t>
  </si>
  <si>
    <t xml:space="preserve">Target P/E Multiple</t>
  </si>
  <si>
    <t xml:space="preserve">KCB, Equity peer comps</t>
  </si>
  <si>
    <t xml:space="preserve">Target P/B Multiple</t>
  </si>
  <si>
    <t xml:space="preserve">Target EV/EBITDA Multiple</t>
  </si>
  <si>
    <t xml:space="preserve">Target Dividend Yield %</t>
  </si>
  <si>
    <t xml:space="preserve">Exit P/E Multiple (Year 5 LBO)</t>
  </si>
  <si>
    <t xml:space="preserve">Control Premium</t>
  </si>
  <si>
    <t xml:space="preserve">D. WACC COMPONENTS</t>
  </si>
  <si>
    <t xml:space="preserve">Risk-Free Rate (Kenya 10-yr Treasury)</t>
  </si>
  <si>
    <t xml:space="preserve">Equity Risk Premium</t>
  </si>
  <si>
    <t xml:space="preserve">Beta (NCBA equity)</t>
  </si>
  <si>
    <t xml:space="preserve">Banking sector beta</t>
  </si>
  <si>
    <t xml:space="preserve">Cost of Equity = Rf + Beta × ERP</t>
  </si>
  <si>
    <t xml:space="preserve">CAPM</t>
  </si>
  <si>
    <t xml:space="preserve">Cost of Debt (pre-tax)</t>
  </si>
  <si>
    <t xml:space="preserve">Debt / (Debt+Equity) ratio</t>
  </si>
  <si>
    <t xml:space="preserve">Borrowings/Total Capital FY2025</t>
  </si>
  <si>
    <t xml:space="preserve">WACC = Ke*(1-d) + Kd*(1-t)*d</t>
  </si>
  <si>
    <t xml:space="preserve">Blended discount rate</t>
  </si>
  <si>
    <t xml:space="preserve">E. MACROECONOMIC CONTEXT</t>
  </si>
  <si>
    <t xml:space="preserve">Kenya GDP Growth (FY2025 actual)</t>
  </si>
  <si>
    <t xml:space="preserve">Source: NCBA Directors' Report p.5</t>
  </si>
  <si>
    <t xml:space="preserve">Kenya GDP Growth Forecast (FY2026E)</t>
  </si>
  <si>
    <t xml:space="preserve">CBK Benchmark Rate</t>
  </si>
  <si>
    <t xml:space="preserve">Easing cycle assumption</t>
  </si>
  <si>
    <t xml:space="preserve">Kenya CPI Inflation</t>
  </si>
  <si>
    <t xml:space="preserve">KES/USD Exchange Rate</t>
  </si>
  <si>
    <t xml:space="preserve">NCBA GROUP PLC — CONSOLIDATED INCOME STATEMENT</t>
  </si>
  <si>
    <t xml:space="preserve">KES '000  |  Source: Annual Report FY2025, pp.19-20  |  Projections driven by Assumptions sheet</t>
  </si>
  <si>
    <t xml:space="preserve">LINE ITEM</t>
  </si>
  <si>
    <t xml:space="preserve">FY2024
Actual</t>
  </si>
  <si>
    <t xml:space="preserve">FY2025
Actual</t>
  </si>
  <si>
    <t xml:space="preserve">FY2026E</t>
  </si>
  <si>
    <t xml:space="preserve">FY2027E</t>
  </si>
  <si>
    <t xml:space="preserve">FY2028E</t>
  </si>
  <si>
    <t xml:space="preserve">FY2029E</t>
  </si>
  <si>
    <t xml:space="preserve">FY2030E</t>
  </si>
  <si>
    <t xml:space="preserve">YoY
FY25 vs FY24</t>
  </si>
  <si>
    <t xml:space="preserve">INTEREST INCOME &amp; EXPENSE</t>
  </si>
  <si>
    <t xml:space="preserve">Interest Income</t>
  </si>
  <si>
    <t xml:space="preserve">Interest Expense</t>
  </si>
  <si>
    <t xml:space="preserve">Net Interest Income (NII)</t>
  </si>
  <si>
    <t xml:space="preserve">NON-INTEREST INCOME</t>
  </si>
  <si>
    <t xml:space="preserve">Fees &amp; Commission Income</t>
  </si>
  <si>
    <t xml:space="preserve">Fees &amp; Commission Expense</t>
  </si>
  <si>
    <t xml:space="preserve">Net Fees &amp; Commission Income</t>
  </si>
  <si>
    <t xml:space="preserve">Insurance Revenue (net)</t>
  </si>
  <si>
    <t xml:space="preserve">Net Foreign Exchange Income</t>
  </si>
  <si>
    <t xml:space="preserve">Other Income &amp; FV Gains</t>
  </si>
  <si>
    <t xml:space="preserve">Net Reinsurance &amp; Insurance Finance</t>
  </si>
  <si>
    <t xml:space="preserve">Non-Interest Income</t>
  </si>
  <si>
    <t xml:space="preserve">Net Operating Income</t>
  </si>
  <si>
    <t xml:space="preserve">OPERATING EXPENSES</t>
  </si>
  <si>
    <t xml:space="preserve">Staff Costs</t>
  </si>
  <si>
    <t xml:space="preserve">Other Operating Expenses</t>
  </si>
  <si>
    <t xml:space="preserve">Total Operating Expenses</t>
  </si>
  <si>
    <t xml:space="preserve">Operating Profit (Pre-Impairment)</t>
  </si>
  <si>
    <t xml:space="preserve">Credit Impairment Losses</t>
  </si>
  <si>
    <t xml:space="preserve">Share of Associates' Profit</t>
  </si>
  <si>
    <t xml:space="preserve">Profit Before Tax (PBT)</t>
  </si>
  <si>
    <t xml:space="preserve">Income Tax Expense</t>
  </si>
  <si>
    <t xml:space="preserve">Profit for the Year (PAT)</t>
  </si>
  <si>
    <t xml:space="preserve">PER SHARE DATA</t>
  </si>
  <si>
    <t xml:space="preserve">EPS — Basic &amp; Diluted (KES)</t>
  </si>
  <si>
    <t xml:space="preserve">DPS — Total Declared (KES)</t>
  </si>
  <si>
    <t xml:space="preserve">Shares Outstanding ('000)</t>
  </si>
  <si>
    <t xml:space="preserve">KEY RATIOS</t>
  </si>
  <si>
    <t xml:space="preserve">NIM (NII / Net Operating Income)</t>
  </si>
  <si>
    <t xml:space="preserve">Cost-to-Income Ratio</t>
  </si>
  <si>
    <t xml:space="preserve">Effective Tax Rate</t>
  </si>
  <si>
    <t xml:space="preserve">NCBA GROUP PLC — CONSOLIDATED BALANCE SHEET</t>
  </si>
  <si>
    <t xml:space="preserve">KES '000  |  Source: Annual Report FY2025, p.21  |  Projections based on Assumptions sheet</t>
  </si>
  <si>
    <t xml:space="preserve">ASSETS</t>
  </si>
  <si>
    <t xml:space="preserve">Cash &amp; Balances with Central Banks</t>
  </si>
  <si>
    <t xml:space="preserve">Items in Course of Collection</t>
  </si>
  <si>
    <t xml:space="preserve">Due from Banking Institutions</t>
  </si>
  <si>
    <t xml:space="preserve">Government Securities</t>
  </si>
  <si>
    <t xml:space="preserve">Investment Securities</t>
  </si>
  <si>
    <t xml:space="preserve">Customer Loans &amp; Advances (net)</t>
  </si>
  <si>
    <t xml:space="preserve">Other Assets &amp; Derivatives</t>
  </si>
  <si>
    <t xml:space="preserve">Intangible Assets &amp; Goodwill</t>
  </si>
  <si>
    <t xml:space="preserve">Property, Equipment &amp; ROU</t>
  </si>
  <si>
    <t xml:space="preserve">Deferred Tax &amp; Other Long-term</t>
  </si>
  <si>
    <t xml:space="preserve">TOTAL ASSETS</t>
  </si>
  <si>
    <t xml:space="preserve">LIABILITIES</t>
  </si>
  <si>
    <t xml:space="preserve">Customer Deposits</t>
  </si>
  <si>
    <t xml:space="preserve">Due to Banking Institutions</t>
  </si>
  <si>
    <t xml:space="preserve">Borrowings</t>
  </si>
  <si>
    <t xml:space="preserve">Other Liabilities &amp; Insurance</t>
  </si>
  <si>
    <t xml:space="preserve">Tax Payable &amp; Lease Liabilities</t>
  </si>
  <si>
    <t xml:space="preserve">TOTAL LIABILITIES</t>
  </si>
  <si>
    <t xml:space="preserve">SHAREHOLDERS' EQUITY</t>
  </si>
  <si>
    <t xml:space="preserve">Share Capital</t>
  </si>
  <si>
    <t xml:space="preserve">Share Premium</t>
  </si>
  <si>
    <t xml:space="preserve">Retained Earnings &amp; Reserves</t>
  </si>
  <si>
    <t xml:space="preserve">Non-Controlling Interests &amp; Other</t>
  </si>
  <si>
    <t xml:space="preserve">TOTAL SHAREHOLDERS' EQUITY</t>
  </si>
  <si>
    <t xml:space="preserve">TOTAL LIABILITIES &amp; EQUITY</t>
  </si>
  <si>
    <t xml:space="preserve">KEY BALANCE SHEET RATIOS</t>
  </si>
  <si>
    <t xml:space="preserve">Loan-to-Deposit Ratio</t>
  </si>
  <si>
    <t xml:space="preserve">Equity / Total Assets</t>
  </si>
  <si>
    <t xml:space="preserve">Loans / Total Assets</t>
  </si>
  <si>
    <t xml:space="preserve">NCBA GROUP PLC — CONSOLIDATED CASH FLOW STATEMENT</t>
  </si>
  <si>
    <t xml:space="preserve">KES '000  |  Source: Annual Report FY2025, p.25  |  FY2026E+ projected</t>
  </si>
  <si>
    <t xml:space="preserve">OPERATING ACTIVITIES</t>
  </si>
  <si>
    <t xml:space="preserve">Depreciation &amp; Amortisation</t>
  </si>
  <si>
    <t xml:space="preserve">Other Non-Cash Adjustments</t>
  </si>
  <si>
    <t xml:space="preserve">Changes in Working Capital</t>
  </si>
  <si>
    <t xml:space="preserve">Income Tax Paid</t>
  </si>
  <si>
    <t xml:space="preserve">Interest Received</t>
  </si>
  <si>
    <t xml:space="preserve">Interest Paid</t>
  </si>
  <si>
    <t xml:space="preserve">Net Cash from Operating Activities</t>
  </si>
  <si>
    <t xml:space="preserve">INVESTING ACTIVITIES</t>
  </si>
  <si>
    <t xml:space="preserve">Purchase of Government Securities</t>
  </si>
  <si>
    <t xml:space="preserve">Proceeds from Matured Gov. Securities</t>
  </si>
  <si>
    <t xml:space="preserve">Purchase / Sale of Investments (net)</t>
  </si>
  <si>
    <t xml:space="preserve">Capital Expenditure (Capex)</t>
  </si>
  <si>
    <t xml:space="preserve">Other Investing Flows</t>
  </si>
  <si>
    <t xml:space="preserve">Net Cash from Investing Activities</t>
  </si>
  <si>
    <t xml:space="preserve">FINANCING ACTIVITIES</t>
  </si>
  <si>
    <t xml:space="preserve">Dividends Paid</t>
  </si>
  <si>
    <t xml:space="preserve">Repayment of Borrowings</t>
  </si>
  <si>
    <t xml:space="preserve">Lease Liability Payments</t>
  </si>
  <si>
    <t xml:space="preserve">Proceeds from New Borrowings</t>
  </si>
  <si>
    <t xml:space="preserve">Net Cash from Financing Activities</t>
  </si>
  <si>
    <t xml:space="preserve">NET CHANGE IN CASH</t>
  </si>
  <si>
    <t xml:space="preserve">Opening Cash &amp; Equivalents</t>
  </si>
  <si>
    <t xml:space="preserve">FX Difference on Cash</t>
  </si>
  <si>
    <t xml:space="preserve">CLOSING CASH &amp; EQUIVALENTS</t>
  </si>
  <si>
    <t xml:space="preserve">NCBA GROUP PLC — DCF VALUATION</t>
  </si>
  <si>
    <t xml:space="preserve">All amounts KES '000 except per-share values  |  FCFE Discounted Cash Flow Approach</t>
  </si>
  <si>
    <t xml:space="preserve">PROJECTION PERIOD</t>
  </si>
  <si>
    <t xml:space="preserve">Year 1
(FY2026E)</t>
  </si>
  <si>
    <t xml:space="preserve">Year 2
(FY2027E)</t>
  </si>
  <si>
    <t xml:space="preserve">Year 3
(FY2028E)</t>
  </si>
  <si>
    <t xml:space="preserve">Year 4
(FY2029E)</t>
  </si>
  <si>
    <t xml:space="preserve">Year 5
(FY2030E)</t>
  </si>
  <si>
    <t xml:space="preserve">Net Profit (PAT) — from Income Statement</t>
  </si>
  <si>
    <t xml:space="preserve">Add: Depreciation &amp; Amortisation</t>
  </si>
  <si>
    <t xml:space="preserve">Less: Capital Expenditure</t>
  </si>
  <si>
    <t xml:space="preserve">Less: Change in Net Working Capital</t>
  </si>
  <si>
    <t xml:space="preserve">FREE CASH FLOW TO EQUITY (FCFE)</t>
  </si>
  <si>
    <t xml:space="preserve">Discount Period</t>
  </si>
  <si>
    <t xml:space="preserve">1</t>
  </si>
  <si>
    <t xml:space="preserve">2</t>
  </si>
  <si>
    <t xml:space="preserve">3</t>
  </si>
  <si>
    <t xml:space="preserve">4</t>
  </si>
  <si>
    <t xml:space="preserve">5</t>
  </si>
  <si>
    <t xml:space="preserve">Discount Factor (WACC)</t>
  </si>
  <si>
    <t xml:space="preserve">Present Value of FCFE</t>
  </si>
  <si>
    <t xml:space="preserve">TERMINAL VALUE CALCULATION</t>
  </si>
  <si>
    <t xml:space="preserve">Terminal Year FCFE (FY2030 × (1+g))</t>
  </si>
  <si>
    <t xml:space="preserve">Terminal Value (Gordon Growth Model)</t>
  </si>
  <si>
    <t xml:space="preserve">PV of Terminal Value</t>
  </si>
  <si>
    <t xml:space="preserve">VALUATION SUMMARY</t>
  </si>
  <si>
    <t xml:space="preserve">Sum of PV of FCFEs (FY2026–FY2030)</t>
  </si>
  <si>
    <t xml:space="preserve">Enterprise Value (EV)</t>
  </si>
  <si>
    <t xml:space="preserve">Less: Borrowings (Debt)</t>
  </si>
  <si>
    <t xml:space="preserve">Add: Cash &amp; CBK Balances</t>
  </si>
  <si>
    <t xml:space="preserve">Equity Value</t>
  </si>
  <si>
    <t xml:space="preserve">DCF Fair Value per Share (KES)</t>
  </si>
  <si>
    <t xml:space="preserve">Current Market Price (KES)</t>
  </si>
  <si>
    <t xml:space="preserve">Upside / (Downside) to DCF Value</t>
  </si>
  <si>
    <t xml:space="preserve">NCBA GROUP PLC — MULTIPLES &amp; COMPARABLE COMPANY VALUATION</t>
  </si>
  <si>
    <t xml:space="preserve">All values KES '000 except per-share  |  FY2025 Actuals &amp; FY2026E Projections</t>
  </si>
  <si>
    <t xml:space="preserve">NCBA FINANCIAL INPUTS (FY2025 ACTUALS &amp; FY2026E)</t>
  </si>
  <si>
    <t xml:space="preserve">Financial Metric</t>
  </si>
  <si>
    <t xml:space="preserve">FY2025A</t>
  </si>
  <si>
    <t xml:space="preserve">Source</t>
  </si>
  <si>
    <t xml:space="preserve">Note</t>
  </si>
  <si>
    <t xml:space="preserve">Net Profit (PAT)</t>
  </si>
  <si>
    <t xml:space="preserve">Income Statement</t>
  </si>
  <si>
    <t xml:space="preserve">KES '000</t>
  </si>
  <si>
    <t xml:space="preserve">Total Equity (Book Value)</t>
  </si>
  <si>
    <t xml:space="preserve">Balance Sheet</t>
  </si>
  <si>
    <t xml:space="preserve">Total Assets</t>
  </si>
  <si>
    <t xml:space="preserve">EPS (KES)</t>
  </si>
  <si>
    <t xml:space="preserve">Per share</t>
  </si>
  <si>
    <t xml:space="preserve">DPS — Total (KES)</t>
  </si>
  <si>
    <t xml:space="preserve">NCBA AR Note 20</t>
  </si>
  <si>
    <t xml:space="preserve">Market Price (KES)</t>
  </si>
  <si>
    <t xml:space="preserve">NSE / Assumptions</t>
  </si>
  <si>
    <t xml:space="preserve">Current</t>
  </si>
  <si>
    <t xml:space="preserve">Market Capitalisation</t>
  </si>
  <si>
    <t xml:space="preserve">Net Debt (Debt - Cash)</t>
  </si>
  <si>
    <t xml:space="preserve">MULTIPLE-BASED VALUATION TABLE</t>
  </si>
  <si>
    <t xml:space="preserve">Methodology</t>
  </si>
  <si>
    <t xml:space="preserve">Multiple Used</t>
  </si>
  <si>
    <t xml:space="preserve">Financial Base (FY25A)</t>
  </si>
  <si>
    <t xml:space="preserve">Implied Equity Value</t>
  </si>
  <si>
    <t xml:space="preserve">Implied Price/Share (KES)</t>
  </si>
  <si>
    <t xml:space="preserve">Prem/(Disc) to Market</t>
  </si>
  <si>
    <t xml:space="preserve">P/E — Trailing (FY2025A)</t>
  </si>
  <si>
    <t xml:space="preserve">P/E — Forward (FY2026E)</t>
  </si>
  <si>
    <t xml:space="preserve">Price / Book Value (P/B)</t>
  </si>
  <si>
    <t xml:space="preserve">EV / EBITDA</t>
  </si>
  <si>
    <t xml:space="preserve">Dividend Yield (Gordon)</t>
  </si>
  <si>
    <t xml:space="preserve">Average Fair Value per Share (KES)</t>
  </si>
  <si>
    <t xml:space="preserve">Minimum Fair Value per Share (KES)</t>
  </si>
  <si>
    <t xml:space="preserve">Maximum Fair Value per Share (KES)</t>
  </si>
  <si>
    <t xml:space="preserve">NCBA GROUP PLC — INVESTMENT RETURNS: IRR, NPV, ROI &amp; MOIC</t>
  </si>
  <si>
    <t xml:space="preserve">Based on 5-year equity investment horizon FY2026–FY2030  |  KES '000</t>
  </si>
  <si>
    <t xml:space="preserve">SECTION A: INVESTMENT CASH FLOW TIMELINE</t>
  </si>
  <si>
    <t xml:space="preserve">Cash Flow Component</t>
  </si>
  <si>
    <t xml:space="preserve">Year 0
(Entry)</t>
  </si>
  <si>
    <t xml:space="preserve">Initial Equity Investment (Entry)</t>
  </si>
  <si>
    <t xml:space="preserve">0</t>
  </si>
  <si>
    <t xml:space="preserve">Annual Dividends Received</t>
  </si>
  <si>
    <t xml:space="preserve">Exit Equity Proceeds (Year 5)</t>
  </si>
  <si>
    <t xml:space="preserve">NET CASH FLOW (Investor Perspective)</t>
  </si>
  <si>
    <t xml:space="preserve">SECTION B: RETURN METRICS SUMMARY</t>
  </si>
  <si>
    <t xml:space="preserve">Internal Rate of Return (IRR)</t>
  </si>
  <si>
    <t xml:space="preserve">Net Present Value (NPV)</t>
  </si>
  <si>
    <t xml:space="preserve">NPV Per Share (KES)</t>
  </si>
  <si>
    <t xml:space="preserve">Return on Investment (ROI)</t>
  </si>
  <si>
    <t xml:space="preserve">MOIC (Money-on-Investment)</t>
  </si>
  <si>
    <t xml:space="preserve">Investment Period (Years)</t>
  </si>
  <si>
    <t xml:space="preserve">Equity Invested (KES '000)</t>
  </si>
  <si>
    <t xml:space="preserve">Total Value at Exit (KES '000)</t>
  </si>
  <si>
    <t xml:space="preserve">Gross IRR (MOIC^(1/Years) - 1)</t>
  </si>
  <si>
    <t xml:space="preserve">SECTION C: ROE, ROA &amp; EFFICIENCY — HISTORICAL &amp; PROJECTED</t>
  </si>
  <si>
    <t xml:space="preserve">Ratio</t>
  </si>
  <si>
    <t xml:space="preserve">FY2024A</t>
  </si>
  <si>
    <t xml:space="preserve">Return on Equity (ROE)</t>
  </si>
  <si>
    <t xml:space="preserve">Return on Assets (ROA)</t>
  </si>
  <si>
    <t xml:space="preserve">Net Interest Margin (NIM)</t>
  </si>
  <si>
    <t xml:space="preserve">DPS (KES)</t>
  </si>
  <si>
    <t xml:space="preserve">Dividend Payout Ratio</t>
  </si>
  <si>
    <t xml:space="preserve">NPL / Gross Loans (Stage 3)</t>
  </si>
  <si>
    <t xml:space="preserve">NCBA GROUP PLC — SENSITIVITY ANALYSIS (WHAT-IF TABLES)</t>
  </si>
  <si>
    <t xml:space="preserve">Two-variable sensitivity tables — change inputs to see effect on key outputs</t>
  </si>
  <si>
    <t xml:space="preserve">TABLE 1: DCF VALUE PER SHARE (KES)  —  WACC (rows) vs Terminal Growth Rate (cols)</t>
  </si>
  <si>
    <t xml:space="preserve">WACC ↓ / Growth →</t>
  </si>
  <si>
    <t xml:space="preserve">2.5%</t>
  </si>
  <si>
    <t xml:space="preserve">3.0%</t>
  </si>
  <si>
    <t xml:space="preserve">3.5%</t>
  </si>
  <si>
    <t xml:space="preserve">4.0%</t>
  </si>
  <si>
    <t xml:space="preserve">4.5%</t>
  </si>
  <si>
    <t xml:space="preserve">5.0%</t>
  </si>
  <si>
    <t xml:space="preserve">5.5%</t>
  </si>
  <si>
    <t xml:space="preserve">6.0%</t>
  </si>
  <si>
    <t xml:space="preserve">11%</t>
  </si>
  <si>
    <t xml:space="preserve">12%</t>
  </si>
  <si>
    <t xml:space="preserve">13%</t>
  </si>
  <si>
    <t xml:space="preserve">14%</t>
  </si>
  <si>
    <t xml:space="preserve">15%</t>
  </si>
  <si>
    <t xml:space="preserve">16%</t>
  </si>
  <si>
    <t xml:space="preserve">17%</t>
  </si>
  <si>
    <t xml:space="preserve">18%</t>
  </si>
  <si>
    <t xml:space="preserve">TABLE 2: NET PROFIT PAT FY2026E (KES bn)  —  NII Growth (rows) vs OpEx Growth (cols)</t>
  </si>
  <si>
    <t xml:space="preserve">NII Gr ↓ / OpEx →</t>
  </si>
  <si>
    <t xml:space="preserve">6%</t>
  </si>
  <si>
    <t xml:space="preserve">8%</t>
  </si>
  <si>
    <t xml:space="preserve">10%</t>
  </si>
  <si>
    <t xml:space="preserve">4%</t>
  </si>
  <si>
    <t xml:space="preserve">TABLE 3: MOIC  —  Entry P/E Multiple (rows) vs Exit P/E Multiple (cols)</t>
  </si>
  <si>
    <t xml:space="preserve">Entry P/E ↓ / Exit →</t>
  </si>
  <si>
    <t xml:space="preserve">4x</t>
  </si>
  <si>
    <t xml:space="preserve">5x</t>
  </si>
  <si>
    <t xml:space="preserve">6x</t>
  </si>
  <si>
    <t xml:space="preserve">7x</t>
  </si>
  <si>
    <t xml:space="preserve">8x</t>
  </si>
  <si>
    <t xml:space="preserve">9x</t>
  </si>
  <si>
    <t xml:space="preserve">10x</t>
  </si>
  <si>
    <t xml:space="preserve">11x</t>
  </si>
  <si>
    <t xml:space="preserve">TABLE 4: DIVIDEND YIELD VALUATION — DPS FY2026E (rows) vs Required Yield (cols)</t>
  </si>
  <si>
    <t xml:space="preserve">DPS (KES) ↓ / Yield →</t>
  </si>
  <si>
    <t xml:space="preserve">5%</t>
  </si>
  <si>
    <t xml:space="preserve">7%</t>
  </si>
  <si>
    <t xml:space="preserve">9%</t>
  </si>
  <si>
    <t xml:space="preserve">KES 5.0</t>
  </si>
  <si>
    <t xml:space="preserve">KES 5.5</t>
  </si>
  <si>
    <t xml:space="preserve">KES 6.0</t>
  </si>
  <si>
    <t xml:space="preserve">KES 6.5</t>
  </si>
  <si>
    <t xml:space="preserve">KES 7.0</t>
  </si>
  <si>
    <t xml:space="preserve">KES 7.5</t>
  </si>
  <si>
    <t xml:space="preserve">KES 8.0</t>
  </si>
  <si>
    <t xml:space="preserve">COLOR LEGEND</t>
  </si>
  <si>
    <t xml:space="preserve">■ GREEN = Above current market price / Above base case / &gt;2x MOIC</t>
  </si>
  <si>
    <t xml:space="preserve">■ YELLOW = Within 5-20% of base case / 1-2x MOIC</t>
  </si>
  <si>
    <t xml:space="preserve">■ RED = Below current price / Below base case / &lt;1x MOIC</t>
  </si>
  <si>
    <t xml:space="preserve">NCBA GROUP PLC — INVESTMENT SUMMARY &amp; RECOMMENDATION</t>
  </si>
  <si>
    <t xml:space="preserve">NSE: NCBA  |  Banking &amp; Financial Services  |  Nairobi Securities Exchange</t>
  </si>
  <si>
    <t xml:space="preserve">COMPANY SNAPSHOT</t>
  </si>
  <si>
    <t xml:space="preserve">Company</t>
  </si>
  <si>
    <t xml:space="preserve">Ticker</t>
  </si>
  <si>
    <t xml:space="preserve">Current Price (KES)</t>
  </si>
  <si>
    <t xml:space="preserve">Date of Analysis</t>
  </si>
  <si>
    <t xml:space="preserve">31-Dec-2025</t>
  </si>
  <si>
    <t xml:space="preserve">Report Basis</t>
  </si>
  <si>
    <t xml:space="preserve">FY2025 Annual Report &amp; Financial Statements</t>
  </si>
  <si>
    <t xml:space="preserve">Valuation Method</t>
  </si>
  <si>
    <t xml:space="preserve">Fair Value (KES)</t>
  </si>
  <si>
    <t xml:space="preserve">Current Price</t>
  </si>
  <si>
    <t xml:space="preserve">Upside/(Downside)</t>
  </si>
  <si>
    <t xml:space="preserve">Weight</t>
  </si>
  <si>
    <t xml:space="preserve">DCF Valuation (FCFE)</t>
  </si>
  <si>
    <t xml:space="preserve">P/E Multiple (Trailing)</t>
  </si>
  <si>
    <t xml:space="preserve">P/E Multiple (Forward)</t>
  </si>
  <si>
    <t xml:space="preserve">Price/Book (P/B)</t>
  </si>
  <si>
    <t xml:space="preserve">WEIGHTED AVERAGE FAIR VALUE</t>
  </si>
  <si>
    <t xml:space="preserve">KEY FINANCIAL METRICS (FY2025 ACTUAL)</t>
  </si>
  <si>
    <t xml:space="preserve">Net Interest Income (KES bn)</t>
  </si>
  <si>
    <t xml:space="preserve">Net Profit / PAT (KES bn)</t>
  </si>
  <si>
    <t xml:space="preserve">Total Assets (KES bn)</t>
  </si>
  <si>
    <t xml:space="preserve">Customer Deposits (KES bn)</t>
  </si>
  <si>
    <t xml:space="preserve">Net Loans (KES bn)</t>
  </si>
  <si>
    <t xml:space="preserve">DPS Total (KES)</t>
  </si>
  <si>
    <t xml:space="preserve">ROE</t>
  </si>
  <si>
    <t xml:space="preserve">ROA</t>
  </si>
  <si>
    <t xml:space="preserve">Cost-to-Income</t>
  </si>
  <si>
    <t xml:space="preserve">NIM</t>
  </si>
  <si>
    <t xml:space="preserve">Dividend Yield</t>
  </si>
  <si>
    <t xml:space="preserve">INVESTMENT RECOMMENDATION</t>
  </si>
  <si>
    <t xml:space="preserve">Recommendation:</t>
  </si>
  <si>
    <t xml:space="preserve">Target Price (Weighted Avg, KES):</t>
  </si>
  <si>
    <t xml:space="preserve">Potential Return (%):</t>
  </si>
  <si>
    <t xml:space="preserve">INVESTMENT THESIS</t>
  </si>
  <si>
    <t xml:space="preserve">Strengths:</t>
  </si>
  <si>
    <t xml:space="preserve">Risks:</t>
  </si>
  <si>
    <t xml:space="preserve">• FY2025 PBT of KES 27.9 bn, +11% YoY — consistent earnings growth</t>
  </si>
  <si>
    <t xml:space="preserve">• Credit impairment losses rose 37% to KES 6.9 bn — NPL risk persists</t>
  </si>
  <si>
    <t xml:space="preserve">• Net Interest Income surged KES 10.3 bn driven by deposit repricing discipline</t>
  </si>
  <si>
    <t xml:space="preserve">• Operating expenses rose 16% (KES 5.2 bn) — cost pressure from headcount</t>
  </si>
  <si>
    <t xml:space="preserve">• Strong digital banking franchise — Loop DFS, NCBA Loop, M-Shwari ecosystem</t>
  </si>
  <si>
    <t xml:space="preserve">• Interest income declined KES 6.9 bn as market rates eased (CBK cuts)</t>
  </si>
  <si>
    <t xml:space="preserve">• Total Assets of KES 716 bn; deposits grew 6% to KES 532 bn</t>
  </si>
  <si>
    <t xml:space="preserve">• FX volatility across regional subsidiaries</t>
  </si>
  <si>
    <t xml:space="preserve">• EPS of KES 14.20, DPS of KES 7.10 — 50% payout, attractive yield</t>
  </si>
  <si>
    <t xml:space="preserve">• Macro: food inflation, current account pressure in Kenya (FY2026 risk)</t>
  </si>
  <si>
    <t xml:space="preserve">• Capital adequacy comfortably above regulatory minimums</t>
  </si>
  <si>
    <t xml:space="preserve">• Competition from fintech players in digital lending (M-Shwari, Fuliza)</t>
  </si>
  <si>
    <t xml:space="preserve">• Pan-African diversification: Kenya, Tanzania, Uganda, Rwanda, CIV, Ghana</t>
  </si>
  <si>
    <t xml:space="preserve">RATING GUIDE</t>
  </si>
  <si>
    <t xml:space="preserve">STRONG BUY</t>
  </si>
  <si>
    <t xml:space="preserve">&gt;20% upside</t>
  </si>
  <si>
    <t xml:space="preserve">BUY</t>
  </si>
  <si>
    <t xml:space="preserve">10–20% upside</t>
  </si>
  <si>
    <t xml:space="preserve">HOLD</t>
  </si>
  <si>
    <t xml:space="preserve">0–10% upside</t>
  </si>
  <si>
    <t xml:space="preserve">UNDERPERFORM</t>
  </si>
  <si>
    <t xml:space="preserve">0 to -10%</t>
  </si>
  <si>
    <t xml:space="preserve">SELL</t>
  </si>
  <si>
    <t xml:space="preserve">&lt; -10%</t>
  </si>
</sst>
</file>

<file path=xl/styles.xml><?xml version="1.0" encoding="utf-8"?>
<styleSheet xmlns="http://schemas.openxmlformats.org/spreadsheetml/2006/main">
  <numFmts count="13">
    <numFmt numFmtId="164" formatCode="General"/>
    <numFmt numFmtId="165" formatCode="#,##0.00"/>
    <numFmt numFmtId="166" formatCode="#,##0.000"/>
    <numFmt numFmtId="167" formatCode="#,##0"/>
    <numFmt numFmtId="168" formatCode="0.0%"/>
    <numFmt numFmtId="169" formatCode="0.0\x"/>
    <numFmt numFmtId="170" formatCode="0.00"/>
    <numFmt numFmtId="171" formatCode="0"/>
    <numFmt numFmtId="172" formatCode="0.0000"/>
    <numFmt numFmtId="173" formatCode="0.00&quot;bn&quot;"/>
    <numFmt numFmtId="174" formatCode="0.00\x"/>
    <numFmt numFmtId="175" formatCode="0%"/>
    <numFmt numFmtId="176" formatCode="#,##0.0"/>
  </numFmts>
  <fonts count="21">
    <font>
      <sz val="11"/>
      <color theme="1"/>
      <name val="Calibri"/>
      <family val="2"/>
      <charset val="1"/>
    </font>
    <font>
      <sz val="10"/>
      <name val="Arial"/>
      <family val="0"/>
    </font>
    <font>
      <sz val="10"/>
      <name val="Arial"/>
      <family val="0"/>
    </font>
    <font>
      <sz val="10"/>
      <name val="Arial"/>
      <family val="0"/>
    </font>
    <font>
      <b val="true"/>
      <sz val="12"/>
      <color rgb="FF002060"/>
      <name val="Calibri"/>
      <family val="0"/>
      <charset val="1"/>
    </font>
    <font>
      <i val="true"/>
      <sz val="9"/>
      <color rgb="FF595959"/>
      <name val="Calibri"/>
      <family val="0"/>
      <charset val="1"/>
    </font>
    <font>
      <b val="true"/>
      <sz val="9"/>
      <color rgb="FF000000"/>
      <name val="Calibri"/>
      <family val="0"/>
      <charset val="1"/>
    </font>
    <font>
      <sz val="9"/>
      <color rgb="FF000000"/>
      <name val="Calibri"/>
      <family val="0"/>
      <charset val="1"/>
    </font>
    <font>
      <b val="true"/>
      <sz val="10"/>
      <color rgb="FF000000"/>
      <name val="Calibri"/>
      <family val="0"/>
      <charset val="1"/>
    </font>
    <font>
      <sz val="10"/>
      <color rgb="FF000000"/>
      <name val="Calibri"/>
      <family val="0"/>
      <charset val="1"/>
    </font>
    <font>
      <b val="true"/>
      <sz val="9"/>
      <color rgb="FF0000FF"/>
      <name val="Calibri"/>
      <family val="0"/>
      <charset val="1"/>
    </font>
    <font>
      <b val="true"/>
      <sz val="9"/>
      <color rgb="FF008000"/>
      <name val="Calibri"/>
      <family val="0"/>
      <charset val="1"/>
    </font>
    <font>
      <sz val="9"/>
      <color rgb="FF0000FF"/>
      <name val="Calibri"/>
      <family val="0"/>
      <charset val="1"/>
    </font>
    <font>
      <i val="true"/>
      <sz val="8"/>
      <color rgb="FF595959"/>
      <name val="Calibri"/>
      <family val="0"/>
      <charset val="1"/>
    </font>
    <font>
      <b val="true"/>
      <sz val="9"/>
      <name val="Calibri"/>
      <family val="0"/>
      <charset val="1"/>
    </font>
    <font>
      <sz val="9"/>
      <color rgb="FF008000"/>
      <name val="Calibri"/>
      <family val="0"/>
      <charset val="1"/>
    </font>
    <font>
      <b val="true"/>
      <sz val="9"/>
      <color rgb="FF276221"/>
      <name val="Calibri"/>
      <family val="0"/>
      <charset val="1"/>
    </font>
    <font>
      <b val="true"/>
      <sz val="9"/>
      <color rgb="FF9C0006"/>
      <name val="Calibri"/>
      <family val="0"/>
      <charset val="1"/>
    </font>
    <font>
      <b val="true"/>
      <sz val="9"/>
      <color rgb="FF9C6500"/>
      <name val="Calibri"/>
      <family val="0"/>
      <charset val="1"/>
    </font>
    <font>
      <b val="true"/>
      <sz val="10"/>
      <name val="Calibri"/>
      <family val="0"/>
      <charset val="1"/>
    </font>
    <font>
      <sz val="9"/>
      <color rgb="FF9C0006"/>
      <name val="Calibri"/>
      <family val="0"/>
      <charset val="1"/>
    </font>
  </fonts>
  <fills count="9">
    <fill>
      <patternFill patternType="none"/>
    </fill>
    <fill>
      <patternFill patternType="gray125"/>
    </fill>
    <fill>
      <patternFill patternType="solid">
        <fgColor rgb="FFD3D3D3"/>
        <bgColor rgb="FFDCE6F1"/>
      </patternFill>
    </fill>
    <fill>
      <patternFill patternType="solid">
        <fgColor rgb="FFFFFF00"/>
        <bgColor rgb="FFFFFF00"/>
      </patternFill>
    </fill>
    <fill>
      <patternFill patternType="solid">
        <fgColor rgb="FFDCE6F1"/>
        <bgColor rgb="FFF2F2F2"/>
      </patternFill>
    </fill>
    <fill>
      <patternFill patternType="solid">
        <fgColor rgb="FFF2F2F2"/>
        <bgColor rgb="FFDCE6F1"/>
      </patternFill>
    </fill>
    <fill>
      <patternFill patternType="solid">
        <fgColor rgb="FFC6EFCE"/>
        <bgColor rgb="FFDCE6F1"/>
      </patternFill>
    </fill>
    <fill>
      <patternFill patternType="solid">
        <fgColor rgb="FFFFC7CE"/>
        <bgColor rgb="FFD3D3D3"/>
      </patternFill>
    </fill>
    <fill>
      <patternFill patternType="solid">
        <fgColor rgb="FFFFEB9C"/>
        <bgColor rgb="FFFFFFCC"/>
      </patternFill>
    </fill>
  </fills>
  <borders count="2">
    <border diagonalUp="false" diagonalDown="false">
      <left/>
      <right/>
      <top/>
      <bottom/>
      <diagonal/>
    </border>
    <border diagonalUp="false" diagonalDown="false">
      <left/>
      <right/>
      <top/>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false" applyAlignment="true" applyProtection="false">
      <alignment horizontal="left" vertical="center" textRotation="0" wrapText="false" indent="0" shrinkToFit="false"/>
      <protection locked="true" hidden="false"/>
    </xf>
    <xf numFmtId="164" fontId="6" fillId="0" borderId="0" xfId="0" applyFont="true" applyBorder="false" applyAlignment="true" applyProtection="false">
      <alignment horizontal="left" vertical="center" textRotation="0" wrapText="false" indent="0" shrinkToFit="false"/>
      <protection locked="true" hidden="false"/>
    </xf>
    <xf numFmtId="164" fontId="7" fillId="0" borderId="0" xfId="0" applyFont="true" applyBorder="false" applyAlignment="true" applyProtection="false">
      <alignment horizontal="left" vertical="center" textRotation="0" wrapText="true" indent="0" shrinkToFit="false"/>
      <protection locked="true" hidden="false"/>
    </xf>
    <xf numFmtId="164" fontId="7" fillId="0" borderId="0" xfId="0" applyFont="true" applyBorder="false" applyAlignment="true" applyProtection="false">
      <alignment horizontal="left" vertical="center" textRotation="0" wrapText="false" indent="0" shrinkToFit="false"/>
      <protection locked="true" hidden="false"/>
    </xf>
    <xf numFmtId="164" fontId="8" fillId="2" borderId="0" xfId="0" applyFont="true" applyBorder="false" applyAlignment="true" applyProtection="false">
      <alignment horizontal="left" vertical="center" textRotation="0" wrapText="false" indent="0" shrinkToFit="false"/>
      <protection locked="true" hidden="false"/>
    </xf>
    <xf numFmtId="164" fontId="9" fillId="2" borderId="0" xfId="0" applyFont="true" applyBorder="false" applyAlignment="true" applyProtection="false">
      <alignment horizontal="left" vertical="center" textRotation="0" wrapText="false" indent="0" shrinkToFit="false"/>
      <protection locked="true" hidden="false"/>
    </xf>
    <xf numFmtId="164" fontId="10" fillId="0" borderId="0" xfId="0" applyFont="true" applyBorder="false" applyAlignment="true" applyProtection="false">
      <alignment horizontal="left" vertical="center" textRotation="0" wrapText="false" indent="0" shrinkToFit="false"/>
      <protection locked="true" hidden="false"/>
    </xf>
    <xf numFmtId="164" fontId="11" fillId="0" borderId="0" xfId="0" applyFont="true" applyBorder="false" applyAlignment="true" applyProtection="false">
      <alignment horizontal="left" vertical="center" textRotation="0" wrapText="false" indent="0" shrinkToFit="false"/>
      <protection locked="true" hidden="false"/>
    </xf>
    <xf numFmtId="164" fontId="6" fillId="3" borderId="0" xfId="0" applyFont="true" applyBorder="false" applyAlignment="true" applyProtection="false">
      <alignment horizontal="left" vertical="center" textRotation="0" wrapText="false" indent="0" shrinkToFit="false"/>
      <protection locked="true" hidden="false"/>
    </xf>
    <xf numFmtId="164" fontId="12" fillId="0" borderId="0" xfId="0" applyFont="true" applyBorder="false" applyAlignment="true" applyProtection="false">
      <alignment horizontal="right" vertical="center" textRotation="0" wrapText="false" indent="0" shrinkToFit="false"/>
      <protection locked="true" hidden="false"/>
    </xf>
    <xf numFmtId="165" fontId="12" fillId="0" borderId="0" xfId="0" applyFont="true" applyBorder="false" applyAlignment="true" applyProtection="false">
      <alignment horizontal="right" vertical="center" textRotation="0" wrapText="false" indent="0" shrinkToFit="false"/>
      <protection locked="true" hidden="false"/>
    </xf>
    <xf numFmtId="166" fontId="12" fillId="0" borderId="0" xfId="0" applyFont="true" applyBorder="false" applyAlignment="true" applyProtection="false">
      <alignment horizontal="right" vertical="center" textRotation="0" wrapText="false" indent="0" shrinkToFit="false"/>
      <protection locked="true" hidden="false"/>
    </xf>
    <xf numFmtId="166" fontId="12" fillId="0" borderId="0" xfId="0" applyFont="true" applyBorder="false" applyAlignment="true" applyProtection="false">
      <alignment horizontal="right" vertical="bottom" textRotation="0" wrapText="false" indent="0" shrinkToFit="false"/>
      <protection locked="true" hidden="false"/>
    </xf>
    <xf numFmtId="164" fontId="13" fillId="0" borderId="0" xfId="0" applyFont="true" applyBorder="false" applyAlignment="true" applyProtection="false">
      <alignment horizontal="left" vertical="center" textRotation="0" wrapText="false" indent="0" shrinkToFit="false"/>
      <protection locked="true" hidden="false"/>
    </xf>
    <xf numFmtId="167" fontId="7" fillId="0" borderId="0" xfId="0" applyFont="true" applyBorder="false" applyAlignment="true" applyProtection="false">
      <alignment horizontal="right" vertical="bottom" textRotation="0" wrapText="false" indent="0" shrinkToFit="false"/>
      <protection locked="true" hidden="false"/>
    </xf>
    <xf numFmtId="168" fontId="12" fillId="3" borderId="0" xfId="0" applyFont="true" applyBorder="false" applyAlignment="true" applyProtection="false">
      <alignment horizontal="right" vertical="center" textRotation="0" wrapText="false" indent="0" shrinkToFit="false"/>
      <protection locked="true" hidden="false"/>
    </xf>
    <xf numFmtId="168" fontId="12" fillId="0" borderId="0" xfId="0" applyFont="true" applyBorder="false" applyAlignment="true" applyProtection="false">
      <alignment horizontal="right" vertical="center" textRotation="0" wrapText="false" indent="0" shrinkToFit="false"/>
      <protection locked="true" hidden="false"/>
    </xf>
    <xf numFmtId="165" fontId="12" fillId="3" borderId="0" xfId="0" applyFont="true" applyBorder="false" applyAlignment="true" applyProtection="false">
      <alignment horizontal="right" vertical="center" textRotation="0" wrapText="false" indent="0" shrinkToFit="false"/>
      <protection locked="true" hidden="false"/>
    </xf>
    <xf numFmtId="169" fontId="12" fillId="3" borderId="0" xfId="0" applyFont="true" applyBorder="false" applyAlignment="true" applyProtection="false">
      <alignment horizontal="right" vertical="center" textRotation="0" wrapText="false" indent="0" shrinkToFit="false"/>
      <protection locked="true" hidden="false"/>
    </xf>
    <xf numFmtId="170" fontId="12" fillId="0" borderId="0" xfId="0" applyFont="true" applyBorder="false" applyAlignment="true" applyProtection="false">
      <alignment horizontal="right" vertical="center" textRotation="0" wrapText="false" indent="0" shrinkToFit="false"/>
      <protection locked="true" hidden="false"/>
    </xf>
    <xf numFmtId="168" fontId="7" fillId="0" borderId="0" xfId="0" applyFont="true" applyBorder="false" applyAlignment="true" applyProtection="false">
      <alignment horizontal="right" vertical="center" textRotation="0" wrapText="false" indent="0" shrinkToFit="false"/>
      <protection locked="true" hidden="false"/>
    </xf>
    <xf numFmtId="164" fontId="6" fillId="2" borderId="0" xfId="0" applyFont="true" applyBorder="false" applyAlignment="true" applyProtection="false">
      <alignment horizontal="left" vertical="center" textRotation="0" wrapText="false" indent="0" shrinkToFit="false"/>
      <protection locked="true" hidden="false"/>
    </xf>
    <xf numFmtId="164" fontId="6" fillId="2" borderId="0" xfId="0" applyFont="true" applyBorder="false" applyAlignment="true" applyProtection="false">
      <alignment horizontal="center" vertical="center" textRotation="0" wrapText="true" indent="0" shrinkToFit="false"/>
      <protection locked="true" hidden="false"/>
    </xf>
    <xf numFmtId="164" fontId="14" fillId="2" borderId="0" xfId="0" applyFont="true" applyBorder="false" applyAlignment="true" applyProtection="false">
      <alignment horizontal="center" vertical="bottom" textRotation="0" wrapText="true" indent="0" shrinkToFit="false"/>
      <protection locked="true" hidden="false"/>
    </xf>
    <xf numFmtId="164" fontId="7" fillId="0" borderId="0" xfId="0" applyFont="true" applyBorder="false" applyAlignment="true" applyProtection="false">
      <alignment horizontal="left" vertical="center" textRotation="0" wrapText="false" indent="1" shrinkToFit="false"/>
      <protection locked="true" hidden="false"/>
    </xf>
    <xf numFmtId="167" fontId="12" fillId="0" borderId="0" xfId="0" applyFont="true" applyBorder="false" applyAlignment="true" applyProtection="false">
      <alignment horizontal="right" vertical="bottom" textRotation="0" wrapText="false" indent="0" shrinkToFit="false"/>
      <protection locked="true" hidden="false"/>
    </xf>
    <xf numFmtId="167" fontId="15" fillId="0" borderId="0" xfId="0" applyFont="true" applyBorder="false" applyAlignment="true" applyProtection="false">
      <alignment horizontal="right" vertical="bottom" textRotation="0" wrapText="false" indent="0" shrinkToFit="false"/>
      <protection locked="true" hidden="false"/>
    </xf>
    <xf numFmtId="168" fontId="7" fillId="0" borderId="0" xfId="0" applyFont="true" applyBorder="false" applyAlignment="true" applyProtection="false">
      <alignment horizontal="right" vertical="bottom" textRotation="0" wrapText="false" indent="0" shrinkToFit="false"/>
      <protection locked="true" hidden="false"/>
    </xf>
    <xf numFmtId="164" fontId="6" fillId="4" borderId="0" xfId="0" applyFont="true" applyBorder="false" applyAlignment="true" applyProtection="false">
      <alignment horizontal="left" vertical="center" textRotation="0" wrapText="false" indent="0" shrinkToFit="false"/>
      <protection locked="true" hidden="false"/>
    </xf>
    <xf numFmtId="167" fontId="6" fillId="4" borderId="1" xfId="0" applyFont="true" applyBorder="true" applyAlignment="true" applyProtection="false">
      <alignment horizontal="right" vertical="bottom" textRotation="0" wrapText="false" indent="0" shrinkToFit="false"/>
      <protection locked="true" hidden="false"/>
    </xf>
    <xf numFmtId="165" fontId="12" fillId="0" borderId="0" xfId="0" applyFont="true" applyBorder="false" applyAlignment="true" applyProtection="false">
      <alignment horizontal="right" vertical="bottom" textRotation="0" wrapText="false" indent="0" shrinkToFit="false"/>
      <protection locked="true" hidden="false"/>
    </xf>
    <xf numFmtId="165" fontId="7" fillId="0" borderId="0" xfId="0" applyFont="true" applyBorder="false" applyAlignment="true" applyProtection="false">
      <alignment horizontal="right" vertical="bottom" textRotation="0" wrapText="false" indent="0" shrinkToFit="false"/>
      <protection locked="true" hidden="false"/>
    </xf>
    <xf numFmtId="168" fontId="12" fillId="0" borderId="0" xfId="0" applyFont="true" applyBorder="false" applyAlignment="true" applyProtection="false">
      <alignment horizontal="right" vertical="bottom" textRotation="0" wrapText="false" indent="0" shrinkToFit="false"/>
      <protection locked="true" hidden="false"/>
    </xf>
    <xf numFmtId="164" fontId="6" fillId="4" borderId="1" xfId="0" applyFont="true" applyBorder="true" applyAlignment="true" applyProtection="false">
      <alignment horizontal="general" vertical="bottom" textRotation="0" wrapText="false" indent="0" shrinkToFit="false"/>
      <protection locked="true" hidden="false"/>
    </xf>
    <xf numFmtId="171" fontId="7" fillId="0" borderId="0" xfId="0" applyFont="true" applyBorder="false" applyAlignment="true" applyProtection="false">
      <alignment horizontal="right" vertical="bottom" textRotation="0" wrapText="false" indent="0" shrinkToFit="false"/>
      <protection locked="true" hidden="false"/>
    </xf>
    <xf numFmtId="172" fontId="15" fillId="0" borderId="0" xfId="0" applyFont="true" applyBorder="false" applyAlignment="true" applyProtection="false">
      <alignment horizontal="right" vertical="bottom" textRotation="0" wrapText="false" indent="0" shrinkToFit="false"/>
      <protection locked="true" hidden="false"/>
    </xf>
    <xf numFmtId="164" fontId="0" fillId="4" borderId="0" xfId="0" applyFont="false" applyBorder="false" applyAlignment="true" applyProtection="false">
      <alignment horizontal="general" vertical="bottom" textRotation="0" wrapText="false" indent="0" shrinkToFit="false"/>
      <protection locked="true" hidden="false"/>
    </xf>
    <xf numFmtId="165" fontId="6" fillId="3" borderId="1" xfId="0" applyFont="true" applyBorder="true" applyAlignment="true" applyProtection="false">
      <alignment horizontal="right" vertical="bottom" textRotation="0" wrapText="false" indent="0" shrinkToFit="false"/>
      <protection locked="true" hidden="false"/>
    </xf>
    <xf numFmtId="168" fontId="6" fillId="3" borderId="1" xfId="0" applyFont="true" applyBorder="true" applyAlignment="true" applyProtection="false">
      <alignment horizontal="right" vertical="bottom" textRotation="0" wrapText="false" indent="0" shrinkToFit="false"/>
      <protection locked="true" hidden="false"/>
    </xf>
    <xf numFmtId="164" fontId="6" fillId="2" borderId="0" xfId="0" applyFont="true" applyBorder="false" applyAlignment="true" applyProtection="false">
      <alignment horizontal="center" vertical="center" textRotation="0" wrapText="false" indent="0" shrinkToFit="false"/>
      <protection locked="true" hidden="false"/>
    </xf>
    <xf numFmtId="165" fontId="15" fillId="0" borderId="0" xfId="0" applyFont="true" applyBorder="false" applyAlignment="true" applyProtection="false">
      <alignment horizontal="right" vertical="bottom" textRotation="0" wrapText="false" indent="0" shrinkToFit="false"/>
      <protection locked="true" hidden="false"/>
    </xf>
    <xf numFmtId="164" fontId="7" fillId="5" borderId="0" xfId="0" applyFont="true" applyBorder="false" applyAlignment="true" applyProtection="false">
      <alignment horizontal="left" vertical="center" textRotation="0" wrapText="false" indent="1" shrinkToFit="false"/>
      <protection locked="true" hidden="false"/>
    </xf>
    <xf numFmtId="169" fontId="15" fillId="5" borderId="0" xfId="0" applyFont="true" applyBorder="false" applyAlignment="true" applyProtection="false">
      <alignment horizontal="right" vertical="bottom" textRotation="0" wrapText="false" indent="0" shrinkToFit="false"/>
      <protection locked="true" hidden="false"/>
    </xf>
    <xf numFmtId="167" fontId="15" fillId="5" borderId="0" xfId="0" applyFont="true" applyBorder="false" applyAlignment="true" applyProtection="false">
      <alignment horizontal="right" vertical="bottom" textRotation="0" wrapText="false" indent="0" shrinkToFit="false"/>
      <protection locked="true" hidden="false"/>
    </xf>
    <xf numFmtId="167" fontId="7" fillId="5" borderId="0" xfId="0" applyFont="true" applyBorder="false" applyAlignment="true" applyProtection="false">
      <alignment horizontal="right" vertical="center" textRotation="0" wrapText="false" indent="0" shrinkToFit="false"/>
      <protection locked="true" hidden="false"/>
    </xf>
    <xf numFmtId="165" fontId="7" fillId="5" borderId="0" xfId="0" applyFont="true" applyBorder="false" applyAlignment="true" applyProtection="false">
      <alignment horizontal="right" vertical="center" textRotation="0" wrapText="false" indent="0" shrinkToFit="false"/>
      <protection locked="true" hidden="false"/>
    </xf>
    <xf numFmtId="168" fontId="7" fillId="5" borderId="0" xfId="0" applyFont="true" applyBorder="false" applyAlignment="true" applyProtection="false">
      <alignment horizontal="right" vertical="center" textRotation="0" wrapText="false" indent="0" shrinkToFit="false"/>
      <protection locked="true" hidden="false"/>
    </xf>
    <xf numFmtId="169" fontId="15" fillId="0" borderId="0" xfId="0" applyFont="true" applyBorder="false" applyAlignment="true" applyProtection="false">
      <alignment horizontal="right" vertical="bottom" textRotation="0" wrapText="false" indent="0" shrinkToFit="false"/>
      <protection locked="true" hidden="false"/>
    </xf>
    <xf numFmtId="167" fontId="7" fillId="0" borderId="0" xfId="0" applyFont="true" applyBorder="false" applyAlignment="true" applyProtection="false">
      <alignment horizontal="right" vertical="center" textRotation="0" wrapText="false" indent="0" shrinkToFit="false"/>
      <protection locked="true" hidden="false"/>
    </xf>
    <xf numFmtId="165" fontId="7" fillId="0" borderId="0" xfId="0" applyFont="true" applyBorder="false" applyAlignment="true" applyProtection="false">
      <alignment horizontal="right" vertical="center" textRotation="0" wrapText="false" indent="0" shrinkToFit="false"/>
      <protection locked="true" hidden="false"/>
    </xf>
    <xf numFmtId="165" fontId="8" fillId="4" borderId="0" xfId="0" applyFont="true" applyBorder="false" applyAlignment="true" applyProtection="false">
      <alignment horizontal="right" vertical="bottom" textRotation="0" wrapText="false" indent="0" shrinkToFit="false"/>
      <protection locked="true" hidden="false"/>
    </xf>
    <xf numFmtId="168" fontId="8" fillId="3" borderId="0" xfId="0" applyFont="true" applyBorder="true" applyAlignment="true" applyProtection="false">
      <alignment horizontal="center" vertical="center" textRotation="0" wrapText="false" indent="0" shrinkToFit="false"/>
      <protection locked="true" hidden="false"/>
    </xf>
    <xf numFmtId="167" fontId="8" fillId="3" borderId="0" xfId="0" applyFont="true" applyBorder="true" applyAlignment="true" applyProtection="false">
      <alignment horizontal="center" vertical="center" textRotation="0" wrapText="false" indent="0" shrinkToFit="false"/>
      <protection locked="true" hidden="false"/>
    </xf>
    <xf numFmtId="165" fontId="7" fillId="0" borderId="0" xfId="0" applyFont="true" applyBorder="true" applyAlignment="true" applyProtection="false">
      <alignment horizontal="center" vertical="center" textRotation="0" wrapText="false" indent="0" shrinkToFit="false"/>
      <protection locked="true" hidden="false"/>
    </xf>
    <xf numFmtId="169" fontId="8" fillId="3" borderId="0" xfId="0" applyFont="true" applyBorder="true" applyAlignment="true" applyProtection="false">
      <alignment horizontal="center" vertical="center" textRotation="0" wrapText="false" indent="0" shrinkToFit="false"/>
      <protection locked="true" hidden="false"/>
    </xf>
    <xf numFmtId="171" fontId="7" fillId="0" borderId="0" xfId="0" applyFont="true" applyBorder="true" applyAlignment="true" applyProtection="false">
      <alignment horizontal="center" vertical="center" textRotation="0" wrapText="false" indent="0" shrinkToFit="false"/>
      <protection locked="true" hidden="false"/>
    </xf>
    <xf numFmtId="167" fontId="7" fillId="0" borderId="0" xfId="0" applyFont="true" applyBorder="true" applyAlignment="true" applyProtection="false">
      <alignment horizontal="center" vertical="center" textRotation="0" wrapText="false" indent="0" shrinkToFit="false"/>
      <protection locked="true" hidden="false"/>
    </xf>
    <xf numFmtId="168" fontId="12" fillId="5" borderId="0" xfId="0" applyFont="true" applyBorder="false" applyAlignment="true" applyProtection="false">
      <alignment horizontal="right" vertical="bottom" textRotation="0" wrapText="false" indent="0" shrinkToFit="false"/>
      <protection locked="true" hidden="false"/>
    </xf>
    <xf numFmtId="168" fontId="7" fillId="5" borderId="0" xfId="0" applyFont="true" applyBorder="false" applyAlignment="true" applyProtection="false">
      <alignment horizontal="right" vertical="bottom" textRotation="0" wrapText="false" indent="0" shrinkToFit="false"/>
      <protection locked="true" hidden="false"/>
    </xf>
    <xf numFmtId="165" fontId="12" fillId="5" borderId="0" xfId="0" applyFont="true" applyBorder="false" applyAlignment="true" applyProtection="false">
      <alignment horizontal="right" vertical="bottom" textRotation="0" wrapText="false" indent="0" shrinkToFit="false"/>
      <protection locked="true" hidden="false"/>
    </xf>
    <xf numFmtId="165" fontId="15" fillId="5" borderId="0" xfId="0" applyFont="true" applyBorder="false" applyAlignment="true" applyProtection="false">
      <alignment horizontal="right" vertical="bottom" textRotation="0" wrapText="false" indent="0" shrinkToFit="false"/>
      <protection locked="true" hidden="false"/>
    </xf>
    <xf numFmtId="165" fontId="16" fillId="6" borderId="0" xfId="0" applyFont="true" applyBorder="false" applyAlignment="true" applyProtection="false">
      <alignment horizontal="center" vertical="bottom" textRotation="0" wrapText="false" indent="0" shrinkToFit="false"/>
      <protection locked="true" hidden="false"/>
    </xf>
    <xf numFmtId="173" fontId="17" fillId="7" borderId="0" xfId="0" applyFont="true" applyBorder="false" applyAlignment="true" applyProtection="false">
      <alignment horizontal="center" vertical="bottom" textRotation="0" wrapText="false" indent="0" shrinkToFit="false"/>
      <protection locked="true" hidden="false"/>
    </xf>
    <xf numFmtId="174" fontId="18" fillId="8" borderId="0" xfId="0" applyFont="true" applyBorder="false" applyAlignment="true" applyProtection="false">
      <alignment horizontal="center" vertical="bottom" textRotation="0" wrapText="false" indent="0" shrinkToFit="false"/>
      <protection locked="true" hidden="false"/>
    </xf>
    <xf numFmtId="174" fontId="16" fillId="6" borderId="0" xfId="0" applyFont="true" applyBorder="false" applyAlignment="true" applyProtection="false">
      <alignment horizontal="center" vertical="bottom" textRotation="0" wrapText="false" indent="0" shrinkToFit="false"/>
      <protection locked="true" hidden="false"/>
    </xf>
    <xf numFmtId="174" fontId="17" fillId="7" borderId="0" xfId="0" applyFont="true" applyBorder="false" applyAlignment="true" applyProtection="false">
      <alignment horizontal="center" vertical="bottom" textRotation="0" wrapText="false" indent="0" shrinkToFit="false"/>
      <protection locked="true" hidden="false"/>
    </xf>
    <xf numFmtId="164" fontId="16" fillId="6" borderId="0" xfId="0" applyFont="true" applyBorder="true" applyAlignment="true" applyProtection="false">
      <alignment horizontal="left" vertical="center" textRotation="0" wrapText="false" indent="0" shrinkToFit="false"/>
      <protection locked="true" hidden="false"/>
    </xf>
    <xf numFmtId="164" fontId="18" fillId="8" borderId="0" xfId="0" applyFont="true" applyBorder="true" applyAlignment="true" applyProtection="false">
      <alignment horizontal="left" vertical="center" textRotation="0" wrapText="false" indent="0" shrinkToFit="false"/>
      <protection locked="true" hidden="false"/>
    </xf>
    <xf numFmtId="164" fontId="17" fillId="7" borderId="0" xfId="0" applyFont="true" applyBorder="true" applyAlignment="true" applyProtection="false">
      <alignment horizontal="left" vertical="center" textRotation="0" wrapText="false" indent="0" shrinkToFit="false"/>
      <protection locked="true" hidden="false"/>
    </xf>
    <xf numFmtId="164" fontId="12" fillId="0" borderId="0" xfId="0" applyFont="true" applyBorder="false" applyAlignment="true" applyProtection="false">
      <alignment horizontal="left" vertical="bottom" textRotation="0" wrapText="false" indent="0" shrinkToFit="false"/>
      <protection locked="true" hidden="false"/>
    </xf>
    <xf numFmtId="165" fontId="15" fillId="0" borderId="0" xfId="0" applyFont="true" applyBorder="false" applyAlignment="true" applyProtection="false">
      <alignment horizontal="left" vertical="bottom" textRotation="0" wrapText="false" indent="0" shrinkToFit="false"/>
      <protection locked="true" hidden="false"/>
    </xf>
    <xf numFmtId="165" fontId="15" fillId="5" borderId="0" xfId="0" applyFont="true" applyBorder="false" applyAlignment="true" applyProtection="false">
      <alignment horizontal="right" vertical="center" textRotation="0" wrapText="false" indent="0" shrinkToFit="false"/>
      <protection locked="true" hidden="false"/>
    </xf>
    <xf numFmtId="175" fontId="12" fillId="5" borderId="0" xfId="0" applyFont="true" applyBorder="false" applyAlignment="true" applyProtection="false">
      <alignment horizontal="right" vertical="center" textRotation="0" wrapText="false" indent="0" shrinkToFit="false"/>
      <protection locked="true" hidden="false"/>
    </xf>
    <xf numFmtId="165" fontId="15" fillId="0" borderId="0" xfId="0" applyFont="true" applyBorder="false" applyAlignment="true" applyProtection="false">
      <alignment horizontal="right" vertical="center" textRotation="0" wrapText="false" indent="0" shrinkToFit="false"/>
      <protection locked="true" hidden="false"/>
    </xf>
    <xf numFmtId="175" fontId="12" fillId="0" borderId="0" xfId="0" applyFont="true" applyBorder="false" applyAlignment="true" applyProtection="false">
      <alignment horizontal="right" vertical="center" textRotation="0" wrapText="false" indent="0" shrinkToFit="false"/>
      <protection locked="true" hidden="false"/>
    </xf>
    <xf numFmtId="164" fontId="19" fillId="3" borderId="0" xfId="0" applyFont="true" applyBorder="false" applyAlignment="true" applyProtection="false">
      <alignment horizontal="left" vertical="center" textRotation="0" wrapText="false" indent="0" shrinkToFit="false"/>
      <protection locked="true" hidden="false"/>
    </xf>
    <xf numFmtId="165" fontId="19" fillId="3" borderId="0" xfId="0" applyFont="true" applyBorder="false" applyAlignment="true" applyProtection="false">
      <alignment horizontal="right" vertical="center" textRotation="0" wrapText="false" indent="0" shrinkToFit="false"/>
      <protection locked="true" hidden="false"/>
    </xf>
    <xf numFmtId="164" fontId="19" fillId="3" borderId="0" xfId="0" applyFont="true" applyBorder="false" applyAlignment="true" applyProtection="false">
      <alignment horizontal="general" vertical="bottom" textRotation="0" wrapText="false" indent="0" shrinkToFit="false"/>
      <protection locked="true" hidden="false"/>
    </xf>
    <xf numFmtId="168" fontId="19" fillId="3" borderId="0" xfId="0" applyFont="true" applyBorder="false" applyAlignment="true" applyProtection="false">
      <alignment horizontal="right" vertical="center" textRotation="0" wrapText="false" indent="0" shrinkToFit="false"/>
      <protection locked="true" hidden="false"/>
    </xf>
    <xf numFmtId="176" fontId="7" fillId="5" borderId="0" xfId="0" applyFont="true" applyBorder="false" applyAlignment="true" applyProtection="false">
      <alignment horizontal="right" vertical="center" textRotation="0" wrapText="false" indent="0" shrinkToFit="false"/>
      <protection locked="true" hidden="false"/>
    </xf>
    <xf numFmtId="164" fontId="0" fillId="5" borderId="0" xfId="0" applyFont="false" applyBorder="false" applyAlignment="true" applyProtection="false">
      <alignment horizontal="general" vertical="bottom" textRotation="0" wrapText="false" indent="0" shrinkToFit="false"/>
      <protection locked="true" hidden="false"/>
    </xf>
    <xf numFmtId="176" fontId="15" fillId="0" borderId="0" xfId="0" applyFont="true" applyBorder="false" applyAlignment="true" applyProtection="false">
      <alignment horizontal="right" vertical="center" textRotation="0" wrapText="false" indent="0" shrinkToFit="false"/>
      <protection locked="true" hidden="false"/>
    </xf>
    <xf numFmtId="176" fontId="15" fillId="5" borderId="0" xfId="0" applyFont="true" applyBorder="false" applyAlignment="true" applyProtection="false">
      <alignment horizontal="right" vertical="center" textRotation="0" wrapText="false" indent="0" shrinkToFit="false"/>
      <protection locked="true" hidden="false"/>
    </xf>
    <xf numFmtId="168" fontId="15" fillId="0" borderId="0" xfId="0" applyFont="true" applyBorder="false" applyAlignment="true" applyProtection="false">
      <alignment horizontal="right" vertical="center" textRotation="0" wrapText="false" indent="0" shrinkToFit="false"/>
      <protection locked="true" hidden="false"/>
    </xf>
    <xf numFmtId="164" fontId="8" fillId="0" borderId="0" xfId="0" applyFont="true" applyBorder="false" applyAlignment="true" applyProtection="false">
      <alignment horizontal="left" vertical="center" textRotation="0" wrapText="false" indent="0" shrinkToFit="false"/>
      <protection locked="true" hidden="false"/>
    </xf>
    <xf numFmtId="164" fontId="4" fillId="3" borderId="0" xfId="0" applyFont="true" applyBorder="false" applyAlignment="true" applyProtection="false">
      <alignment horizontal="right" vertical="center" textRotation="0" wrapText="false" indent="0" shrinkToFit="false"/>
      <protection locked="true" hidden="false"/>
    </xf>
    <xf numFmtId="165" fontId="6" fillId="3" borderId="0" xfId="0" applyFont="true" applyBorder="false" applyAlignment="true" applyProtection="false">
      <alignment horizontal="right" vertical="center" textRotation="0" wrapText="false" indent="0" shrinkToFit="false"/>
      <protection locked="true" hidden="false"/>
    </xf>
    <xf numFmtId="168" fontId="6" fillId="3" borderId="0" xfId="0" applyFont="true" applyBorder="false" applyAlignment="true" applyProtection="false">
      <alignment horizontal="right" vertical="center" textRotation="0" wrapText="false" indent="0" shrinkToFit="false"/>
      <protection locked="true" hidden="false"/>
    </xf>
    <xf numFmtId="164" fontId="7" fillId="0" borderId="0" xfId="0" applyFont="true" applyBorder="true" applyAlignment="true" applyProtection="false">
      <alignment horizontal="left" vertical="center" textRotation="0" wrapText="true" indent="0" shrinkToFit="false"/>
      <protection locked="true" hidden="false"/>
    </xf>
    <xf numFmtId="164" fontId="20" fillId="0" borderId="0"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2F2F2"/>
      <rgbColor rgb="FFFF0000"/>
      <rgbColor rgb="FF00FF00"/>
      <rgbColor rgb="FF0000FF"/>
      <rgbColor rgb="FFFFFF00"/>
      <rgbColor rgb="FFFF00FF"/>
      <rgbColor rgb="FF00FFFF"/>
      <rgbColor rgb="FF8B0000"/>
      <rgbColor rgb="FF008000"/>
      <rgbColor rgb="FF000080"/>
      <rgbColor rgb="FF9C6500"/>
      <rgbColor rgb="FF8B008B"/>
      <rgbColor rgb="FF1F6B75"/>
      <rgbColor rgb="FFC0C0C0"/>
      <rgbColor rgb="FF808080"/>
      <rgbColor rgb="FF9999FF"/>
      <rgbColor rgb="FF993366"/>
      <rgbColor rgb="FFFFFFCC"/>
      <rgbColor rgb="FFDCE6F1"/>
      <rgbColor rgb="FF660066"/>
      <rgbColor rgb="FFFF8080"/>
      <rgbColor rgb="FF0066CC"/>
      <rgbColor rgb="FFD3D3D3"/>
      <rgbColor rgb="FF000080"/>
      <rgbColor rgb="FFFF00FF"/>
      <rgbColor rgb="FFFFFF00"/>
      <rgbColor rgb="FF00FFFF"/>
      <rgbColor rgb="FF800080"/>
      <rgbColor rgb="FF9C0006"/>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C9933A"/>
      <rgbColor rgb="FFFF6600"/>
      <rgbColor rgb="FF595959"/>
      <rgbColor rgb="FF969696"/>
      <rgbColor rgb="FF002060"/>
      <rgbColor rgb="FF339966"/>
      <rgbColor rgb="FF006400"/>
      <rgbColor rgb="FF333300"/>
      <rgbColor rgb="FF8B4513"/>
      <rgbColor rgb="FF993366"/>
      <rgbColor rgb="FF333399"/>
      <rgbColor rgb="FF276221"/>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2060"/>
    <pageSetUpPr fitToPage="false"/>
  </sheetPr>
  <dimension ref="A1:B2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60"/>
  </cols>
  <sheetData>
    <row r="1" customFormat="false" ht="19.5" hidden="false" customHeight="true" outlineLevel="0" collapsed="false">
      <c r="A1" s="2" t="s">
        <v>0</v>
      </c>
      <c r="B1" s="2"/>
    </row>
    <row r="2" customFormat="false" ht="13.5" hidden="false" customHeight="true" outlineLevel="0" collapsed="false">
      <c r="A2" s="3" t="s">
        <v>1</v>
      </c>
    </row>
    <row r="4" customFormat="false" ht="31.5" hidden="false" customHeight="true" outlineLevel="0" collapsed="false">
      <c r="A4" s="4" t="s">
        <v>2</v>
      </c>
      <c r="B4" s="5" t="s">
        <v>3</v>
      </c>
    </row>
    <row r="5" customFormat="false" ht="15" hidden="false" customHeight="true" outlineLevel="0" collapsed="false">
      <c r="A5" s="4" t="s">
        <v>4</v>
      </c>
      <c r="B5" s="6" t="s">
        <v>5</v>
      </c>
    </row>
    <row r="6" customFormat="false" ht="15" hidden="false" customHeight="true" outlineLevel="0" collapsed="false">
      <c r="A6" s="4" t="s">
        <v>6</v>
      </c>
      <c r="B6" s="6" t="s">
        <v>7</v>
      </c>
    </row>
    <row r="7" customFormat="false" ht="15" hidden="false" customHeight="true" outlineLevel="0" collapsed="false">
      <c r="A7" s="4" t="s">
        <v>8</v>
      </c>
      <c r="B7" s="6" t="s">
        <v>9</v>
      </c>
    </row>
    <row r="8" customFormat="false" ht="15" hidden="false" customHeight="true" outlineLevel="0" collapsed="false">
      <c r="A8" s="4" t="s">
        <v>10</v>
      </c>
      <c r="B8" s="6" t="s">
        <v>11</v>
      </c>
    </row>
    <row r="9" customFormat="false" ht="15" hidden="false" customHeight="true" outlineLevel="0" collapsed="false">
      <c r="A9" s="4" t="s">
        <v>12</v>
      </c>
      <c r="B9" s="6" t="s">
        <v>13</v>
      </c>
    </row>
    <row r="10" customFormat="false" ht="15" hidden="false" customHeight="true" outlineLevel="0" collapsed="false">
      <c r="A10" s="4" t="s">
        <v>14</v>
      </c>
      <c r="B10" s="6" t="s">
        <v>15</v>
      </c>
    </row>
    <row r="11" customFormat="false" ht="15" hidden="false" customHeight="true" outlineLevel="0" collapsed="false">
      <c r="A11" s="4" t="s">
        <v>16</v>
      </c>
      <c r="B11" s="6" t="s">
        <v>17</v>
      </c>
    </row>
    <row r="13" customFormat="false" ht="15.75" hidden="false" customHeight="true" outlineLevel="0" collapsed="false">
      <c r="A13" s="7" t="s">
        <v>18</v>
      </c>
      <c r="B13" s="8"/>
    </row>
    <row r="14" customFormat="false" ht="15" hidden="false" customHeight="true" outlineLevel="0" collapsed="false">
      <c r="A14" s="4" t="s">
        <v>19</v>
      </c>
      <c r="B14" s="6" t="s">
        <v>20</v>
      </c>
    </row>
    <row r="15" customFormat="false" ht="15" hidden="false" customHeight="true" outlineLevel="0" collapsed="false">
      <c r="A15" s="4" t="s">
        <v>21</v>
      </c>
      <c r="B15" s="6" t="s">
        <v>22</v>
      </c>
    </row>
    <row r="16" customFormat="false" ht="15" hidden="false" customHeight="true" outlineLevel="0" collapsed="false">
      <c r="A16" s="4" t="s">
        <v>23</v>
      </c>
      <c r="B16" s="6" t="s">
        <v>24</v>
      </c>
    </row>
    <row r="17" customFormat="false" ht="15" hidden="false" customHeight="true" outlineLevel="0" collapsed="false">
      <c r="A17" s="4" t="s">
        <v>25</v>
      </c>
      <c r="B17" s="6" t="s">
        <v>26</v>
      </c>
    </row>
    <row r="18" customFormat="false" ht="15" hidden="false" customHeight="true" outlineLevel="0" collapsed="false">
      <c r="A18" s="4" t="s">
        <v>27</v>
      </c>
      <c r="B18" s="6" t="s">
        <v>28</v>
      </c>
    </row>
    <row r="19" customFormat="false" ht="15" hidden="false" customHeight="true" outlineLevel="0" collapsed="false">
      <c r="A19" s="4" t="s">
        <v>29</v>
      </c>
      <c r="B19" s="6" t="s">
        <v>30</v>
      </c>
    </row>
    <row r="20" customFormat="false" ht="15" hidden="false" customHeight="true" outlineLevel="0" collapsed="false">
      <c r="A20" s="4" t="s">
        <v>31</v>
      </c>
      <c r="B20" s="6" t="s">
        <v>32</v>
      </c>
    </row>
    <row r="21" customFormat="false" ht="15" hidden="false" customHeight="true" outlineLevel="0" collapsed="false">
      <c r="A21" s="4" t="s">
        <v>33</v>
      </c>
      <c r="B21" s="6" t="s">
        <v>34</v>
      </c>
    </row>
    <row r="22" customFormat="false" ht="15" hidden="false" customHeight="true" outlineLevel="0" collapsed="false">
      <c r="A22" s="4" t="s">
        <v>35</v>
      </c>
      <c r="B22" s="6" t="s">
        <v>36</v>
      </c>
    </row>
    <row r="25" customFormat="false" ht="15.75" hidden="false" customHeight="true" outlineLevel="0" collapsed="false">
      <c r="A25" s="7" t="s">
        <v>37</v>
      </c>
      <c r="B25" s="8"/>
    </row>
    <row r="26" customFormat="false" ht="15" hidden="false" customHeight="true" outlineLevel="0" collapsed="false">
      <c r="A26" s="9" t="s">
        <v>38</v>
      </c>
      <c r="B26" s="6" t="s">
        <v>39</v>
      </c>
    </row>
    <row r="27" customFormat="false" ht="15" hidden="false" customHeight="true" outlineLevel="0" collapsed="false">
      <c r="A27" s="4" t="s">
        <v>40</v>
      </c>
      <c r="B27" s="6" t="s">
        <v>41</v>
      </c>
    </row>
    <row r="28" customFormat="false" ht="15" hidden="false" customHeight="true" outlineLevel="0" collapsed="false">
      <c r="A28" s="10" t="s">
        <v>42</v>
      </c>
      <c r="B28" s="6" t="s">
        <v>43</v>
      </c>
    </row>
    <row r="29" customFormat="false" ht="15" hidden="false" customHeight="true" outlineLevel="0" collapsed="false">
      <c r="A29" s="11" t="s">
        <v>44</v>
      </c>
      <c r="B29" s="6" t="s">
        <v>45</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9933A"/>
    <pageSetUpPr fitToPage="false"/>
  </sheetPr>
  <dimension ref="A1:C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8"/>
    <col collapsed="false" customWidth="true" hidden="false" outlineLevel="0" max="2" min="2" style="1" width="16"/>
    <col collapsed="false" customWidth="true" hidden="false" outlineLevel="0" max="3" min="3" style="1" width="45"/>
  </cols>
  <sheetData>
    <row r="1" customFormat="false" ht="19.5" hidden="false" customHeight="true" outlineLevel="0" collapsed="false">
      <c r="A1" s="2" t="s">
        <v>46</v>
      </c>
      <c r="B1" s="2"/>
      <c r="C1" s="2"/>
    </row>
    <row r="2" customFormat="false" ht="13.5" hidden="false" customHeight="true" outlineLevel="0" collapsed="false">
      <c r="A2" s="3" t="s">
        <v>47</v>
      </c>
    </row>
    <row r="4" customFormat="false" ht="15.75" hidden="false" customHeight="true" outlineLevel="0" collapsed="false">
      <c r="A4" s="7" t="s">
        <v>48</v>
      </c>
      <c r="B4" s="8"/>
      <c r="C4" s="8"/>
    </row>
    <row r="5" customFormat="false" ht="15" hidden="false" customHeight="true" outlineLevel="0" collapsed="false">
      <c r="A5" s="6" t="s">
        <v>49</v>
      </c>
      <c r="B5" s="12" t="s">
        <v>50</v>
      </c>
    </row>
    <row r="6" customFormat="false" ht="15" hidden="false" customHeight="true" outlineLevel="0" collapsed="false">
      <c r="A6" s="6" t="s">
        <v>4</v>
      </c>
      <c r="B6" s="13" t="n">
        <v>39.5</v>
      </c>
    </row>
    <row r="7" customFormat="false" ht="15" hidden="false" customHeight="true" outlineLevel="0" collapsed="false">
      <c r="A7" s="6" t="s">
        <v>6</v>
      </c>
      <c r="B7" s="14" t="n">
        <v>1647.519</v>
      </c>
    </row>
    <row r="8" customFormat="false" ht="15" hidden="false" customHeight="true" outlineLevel="0" collapsed="false">
      <c r="A8" s="6" t="s">
        <v>51</v>
      </c>
      <c r="B8" s="15" t="n">
        <v>1647.519</v>
      </c>
      <c r="C8" s="16" t="s">
        <v>52</v>
      </c>
    </row>
    <row r="9" customFormat="false" ht="15" hidden="false" customHeight="true" outlineLevel="0" collapsed="false">
      <c r="A9" s="6" t="s">
        <v>53</v>
      </c>
      <c r="B9" s="12" t="s">
        <v>54</v>
      </c>
      <c r="C9" s="16" t="s">
        <v>55</v>
      </c>
    </row>
    <row r="10" customFormat="false" ht="15" hidden="false" customHeight="true" outlineLevel="0" collapsed="false">
      <c r="A10" s="6" t="s">
        <v>56</v>
      </c>
      <c r="B10" s="17" t="n">
        <f aca="false">B7*B8*1000</f>
        <v>2714318855.361</v>
      </c>
      <c r="C10" s="16" t="s">
        <v>57</v>
      </c>
    </row>
    <row r="11" customFormat="false" ht="15" hidden="false" customHeight="true" outlineLevel="0" collapsed="false">
      <c r="A11" s="6" t="s">
        <v>58</v>
      </c>
      <c r="B11" s="12" t="s">
        <v>59</v>
      </c>
    </row>
    <row r="13" customFormat="false" ht="15.75" hidden="false" customHeight="true" outlineLevel="0" collapsed="false">
      <c r="A13" s="7" t="s">
        <v>60</v>
      </c>
      <c r="B13" s="8"/>
      <c r="C13" s="8"/>
    </row>
    <row r="14" customFormat="false" ht="15" hidden="false" customHeight="true" outlineLevel="0" collapsed="false">
      <c r="A14" s="6" t="s">
        <v>61</v>
      </c>
      <c r="B14" s="18" t="n">
        <v>0.08</v>
      </c>
      <c r="C14" s="16" t="s">
        <v>62</v>
      </c>
    </row>
    <row r="15" customFormat="false" ht="15" hidden="false" customHeight="true" outlineLevel="0" collapsed="false">
      <c r="A15" s="6" t="s">
        <v>63</v>
      </c>
      <c r="B15" s="19" t="n">
        <v>0.09</v>
      </c>
    </row>
    <row r="16" customFormat="false" ht="15" hidden="false" customHeight="true" outlineLevel="0" collapsed="false">
      <c r="A16" s="6" t="s">
        <v>64</v>
      </c>
      <c r="B16" s="19" t="n">
        <v>0.09</v>
      </c>
    </row>
    <row r="17" customFormat="false" ht="15" hidden="false" customHeight="true" outlineLevel="0" collapsed="false">
      <c r="A17" s="6" t="s">
        <v>65</v>
      </c>
      <c r="B17" s="19" t="n">
        <v>0.1</v>
      </c>
    </row>
    <row r="18" customFormat="false" ht="15" hidden="false" customHeight="true" outlineLevel="0" collapsed="false">
      <c r="A18" s="6" t="s">
        <v>66</v>
      </c>
      <c r="B18" s="19" t="n">
        <v>0.1</v>
      </c>
    </row>
    <row r="19" customFormat="false" ht="15" hidden="false" customHeight="true" outlineLevel="0" collapsed="false">
      <c r="A19" s="6" t="s">
        <v>67</v>
      </c>
      <c r="B19" s="19" t="n">
        <v>0.05</v>
      </c>
    </row>
    <row r="20" customFormat="false" ht="15" hidden="false" customHeight="true" outlineLevel="0" collapsed="false">
      <c r="A20" s="6" t="s">
        <v>68</v>
      </c>
      <c r="B20" s="19" t="n">
        <v>0.06</v>
      </c>
    </row>
    <row r="21" customFormat="false" ht="15" hidden="false" customHeight="true" outlineLevel="0" collapsed="false">
      <c r="A21" s="6" t="s">
        <v>69</v>
      </c>
      <c r="B21" s="19" t="n">
        <v>0.06</v>
      </c>
    </row>
    <row r="22" customFormat="false" ht="15" hidden="false" customHeight="true" outlineLevel="0" collapsed="false">
      <c r="A22" s="6" t="s">
        <v>70</v>
      </c>
      <c r="B22" s="19" t="n">
        <v>0.07</v>
      </c>
    </row>
    <row r="23" customFormat="false" ht="15" hidden="false" customHeight="true" outlineLevel="0" collapsed="false">
      <c r="A23" s="6" t="s">
        <v>71</v>
      </c>
      <c r="B23" s="19" t="n">
        <v>0.07</v>
      </c>
    </row>
    <row r="24" customFormat="false" ht="15" hidden="false" customHeight="true" outlineLevel="0" collapsed="false">
      <c r="A24" s="6" t="s">
        <v>72</v>
      </c>
      <c r="B24" s="19" t="n">
        <v>0.1</v>
      </c>
      <c r="C24" s="16" t="s">
        <v>73</v>
      </c>
    </row>
    <row r="25" customFormat="false" ht="15" hidden="false" customHeight="true" outlineLevel="0" collapsed="false">
      <c r="A25" s="6" t="s">
        <v>74</v>
      </c>
      <c r="B25" s="19" t="n">
        <v>0.08</v>
      </c>
    </row>
    <row r="26" customFormat="false" ht="15" hidden="false" customHeight="true" outlineLevel="0" collapsed="false">
      <c r="A26" s="6" t="s">
        <v>75</v>
      </c>
      <c r="B26" s="19" t="n">
        <v>0.08</v>
      </c>
    </row>
    <row r="27" customFormat="false" ht="15" hidden="false" customHeight="true" outlineLevel="0" collapsed="false">
      <c r="A27" s="6" t="s">
        <v>76</v>
      </c>
      <c r="B27" s="19" t="n">
        <v>0.07</v>
      </c>
    </row>
    <row r="28" customFormat="false" ht="15" hidden="false" customHeight="true" outlineLevel="0" collapsed="false">
      <c r="A28" s="6" t="s">
        <v>77</v>
      </c>
      <c r="B28" s="19" t="n">
        <v>0.07</v>
      </c>
    </row>
    <row r="29" customFormat="false" ht="15" hidden="false" customHeight="true" outlineLevel="0" collapsed="false">
      <c r="A29" s="6" t="s">
        <v>78</v>
      </c>
      <c r="B29" s="18" t="n">
        <v>0.096</v>
      </c>
      <c r="C29" s="16" t="s">
        <v>79</v>
      </c>
    </row>
    <row r="30" customFormat="false" ht="15" hidden="false" customHeight="true" outlineLevel="0" collapsed="false">
      <c r="A30" s="6" t="s">
        <v>80</v>
      </c>
      <c r="B30" s="18" t="n">
        <v>0.06</v>
      </c>
    </row>
    <row r="31" customFormat="false" ht="15" hidden="false" customHeight="true" outlineLevel="0" collapsed="false">
      <c r="A31" s="6" t="s">
        <v>81</v>
      </c>
      <c r="B31" s="19" t="n">
        <v>0.055</v>
      </c>
    </row>
    <row r="32" customFormat="false" ht="15" hidden="false" customHeight="true" outlineLevel="0" collapsed="false">
      <c r="A32" s="6" t="s">
        <v>82</v>
      </c>
      <c r="B32" s="18" t="n">
        <v>0.045</v>
      </c>
      <c r="C32" s="16" t="s">
        <v>83</v>
      </c>
    </row>
    <row r="34" customFormat="false" ht="15.75" hidden="false" customHeight="true" outlineLevel="0" collapsed="false">
      <c r="A34" s="7" t="s">
        <v>84</v>
      </c>
      <c r="B34" s="8"/>
      <c r="C34" s="8"/>
    </row>
    <row r="35" customFormat="false" ht="15" hidden="false" customHeight="true" outlineLevel="0" collapsed="false">
      <c r="A35" s="6" t="s">
        <v>85</v>
      </c>
      <c r="B35" s="18" t="n">
        <v>0.11</v>
      </c>
      <c r="C35" s="16" t="s">
        <v>86</v>
      </c>
    </row>
    <row r="36" customFormat="false" ht="15" hidden="false" customHeight="true" outlineLevel="0" collapsed="false">
      <c r="A36" s="6" t="s">
        <v>87</v>
      </c>
      <c r="B36" s="19" t="n">
        <v>0.161</v>
      </c>
      <c r="C36" s="16" t="s">
        <v>88</v>
      </c>
    </row>
    <row r="37" customFormat="false" ht="15" hidden="false" customHeight="true" outlineLevel="0" collapsed="false">
      <c r="A37" s="6" t="s">
        <v>89</v>
      </c>
      <c r="B37" s="19" t="n">
        <v>0.6</v>
      </c>
      <c r="C37" s="16" t="s">
        <v>90</v>
      </c>
    </row>
    <row r="38" customFormat="false" ht="15" hidden="false" customHeight="true" outlineLevel="0" collapsed="false">
      <c r="A38" s="6" t="s">
        <v>91</v>
      </c>
      <c r="B38" s="19" t="n">
        <v>0.185</v>
      </c>
    </row>
    <row r="39" customFormat="false" ht="15" hidden="false" customHeight="true" outlineLevel="0" collapsed="false">
      <c r="A39" s="6" t="s">
        <v>92</v>
      </c>
      <c r="B39" s="18" t="n">
        <v>0.14</v>
      </c>
      <c r="C39" s="16" t="s">
        <v>93</v>
      </c>
    </row>
    <row r="40" customFormat="false" ht="15" hidden="false" customHeight="true" outlineLevel="0" collapsed="false">
      <c r="A40" s="6" t="s">
        <v>94</v>
      </c>
      <c r="B40" s="20" t="n">
        <v>39.5</v>
      </c>
      <c r="C40" s="16" t="s">
        <v>95</v>
      </c>
    </row>
    <row r="41" customFormat="false" ht="15" hidden="false" customHeight="true" outlineLevel="0" collapsed="false">
      <c r="A41" s="6" t="s">
        <v>96</v>
      </c>
      <c r="B41" s="21" t="n">
        <v>8</v>
      </c>
      <c r="C41" s="16" t="s">
        <v>97</v>
      </c>
    </row>
    <row r="42" customFormat="false" ht="15" hidden="false" customHeight="true" outlineLevel="0" collapsed="false">
      <c r="A42" s="6" t="s">
        <v>98</v>
      </c>
      <c r="B42" s="21" t="n">
        <v>1.2</v>
      </c>
    </row>
    <row r="43" customFormat="false" ht="15" hidden="false" customHeight="true" outlineLevel="0" collapsed="false">
      <c r="A43" s="6" t="s">
        <v>99</v>
      </c>
      <c r="B43" s="21" t="n">
        <v>5.5</v>
      </c>
    </row>
    <row r="44" customFormat="false" ht="15" hidden="false" customHeight="true" outlineLevel="0" collapsed="false">
      <c r="A44" s="6" t="s">
        <v>100</v>
      </c>
      <c r="B44" s="19" t="n">
        <v>0.055</v>
      </c>
    </row>
    <row r="45" customFormat="false" ht="15" hidden="false" customHeight="true" outlineLevel="0" collapsed="false">
      <c r="A45" s="6" t="s">
        <v>101</v>
      </c>
      <c r="B45" s="21" t="n">
        <v>8</v>
      </c>
    </row>
    <row r="46" customFormat="false" ht="15" hidden="false" customHeight="true" outlineLevel="0" collapsed="false">
      <c r="A46" s="6" t="s">
        <v>102</v>
      </c>
      <c r="B46" s="19" t="n">
        <v>0.2</v>
      </c>
    </row>
    <row r="48" customFormat="false" ht="15.75" hidden="false" customHeight="true" outlineLevel="0" collapsed="false">
      <c r="A48" s="7" t="s">
        <v>103</v>
      </c>
      <c r="B48" s="8"/>
      <c r="C48" s="8"/>
    </row>
    <row r="49" customFormat="false" ht="15" hidden="false" customHeight="true" outlineLevel="0" collapsed="false">
      <c r="A49" s="6" t="s">
        <v>104</v>
      </c>
      <c r="B49" s="19" t="n">
        <v>0.125</v>
      </c>
    </row>
    <row r="50" customFormat="false" ht="15" hidden="false" customHeight="true" outlineLevel="0" collapsed="false">
      <c r="A50" s="6" t="s">
        <v>105</v>
      </c>
      <c r="B50" s="19" t="n">
        <v>0.055</v>
      </c>
    </row>
    <row r="51" customFormat="false" ht="15" hidden="false" customHeight="true" outlineLevel="0" collapsed="false">
      <c r="A51" s="6" t="s">
        <v>106</v>
      </c>
      <c r="B51" s="22" t="n">
        <v>0.95</v>
      </c>
      <c r="C51" s="16" t="s">
        <v>107</v>
      </c>
    </row>
    <row r="52" customFormat="false" ht="15" hidden="false" customHeight="true" outlineLevel="0" collapsed="false">
      <c r="A52" s="6" t="s">
        <v>108</v>
      </c>
      <c r="B52" s="23" t="n">
        <f aca="false">B49+B51*B50</f>
        <v>0.17725</v>
      </c>
      <c r="C52" s="16" t="s">
        <v>109</v>
      </c>
    </row>
    <row r="53" customFormat="false" ht="15" hidden="false" customHeight="true" outlineLevel="0" collapsed="false">
      <c r="A53" s="6" t="s">
        <v>110</v>
      </c>
      <c r="B53" s="19" t="n">
        <v>0.11</v>
      </c>
    </row>
    <row r="54" customFormat="false" ht="15" hidden="false" customHeight="true" outlineLevel="0" collapsed="false">
      <c r="A54" s="6" t="s">
        <v>111</v>
      </c>
      <c r="B54" s="19" t="n">
        <v>0.056</v>
      </c>
      <c r="C54" s="16" t="s">
        <v>112</v>
      </c>
    </row>
    <row r="55" customFormat="false" ht="15" hidden="false" customHeight="true" outlineLevel="0" collapsed="false">
      <c r="A55" s="6" t="s">
        <v>113</v>
      </c>
      <c r="B55" s="23" t="n">
        <f aca="false">B52*(1-B54) + B53*(1-B36)*B54</f>
        <v>0.17249224</v>
      </c>
      <c r="C55" s="16" t="s">
        <v>114</v>
      </c>
    </row>
    <row r="57" customFormat="false" ht="15.75" hidden="false" customHeight="true" outlineLevel="0" collapsed="false">
      <c r="A57" s="7" t="s">
        <v>115</v>
      </c>
      <c r="B57" s="8"/>
      <c r="C57" s="8"/>
    </row>
    <row r="58" customFormat="false" ht="15" hidden="false" customHeight="true" outlineLevel="0" collapsed="false">
      <c r="A58" s="6" t="s">
        <v>116</v>
      </c>
      <c r="B58" s="19" t="n">
        <v>0.062</v>
      </c>
      <c r="C58" s="16" t="s">
        <v>117</v>
      </c>
    </row>
    <row r="59" customFormat="false" ht="15" hidden="false" customHeight="true" outlineLevel="0" collapsed="false">
      <c r="A59" s="6" t="s">
        <v>118</v>
      </c>
      <c r="B59" s="19" t="n">
        <v>0.062</v>
      </c>
    </row>
    <row r="60" customFormat="false" ht="15" hidden="false" customHeight="true" outlineLevel="0" collapsed="false">
      <c r="A60" s="6" t="s">
        <v>119</v>
      </c>
      <c r="B60" s="19" t="n">
        <v>0.1</v>
      </c>
      <c r="C60" s="16" t="s">
        <v>120</v>
      </c>
    </row>
    <row r="61" customFormat="false" ht="15" hidden="false" customHeight="true" outlineLevel="0" collapsed="false">
      <c r="A61" s="6" t="s">
        <v>121</v>
      </c>
      <c r="B61" s="19" t="n">
        <v>0.058</v>
      </c>
    </row>
    <row r="62" customFormat="false" ht="15" hidden="false" customHeight="true" outlineLevel="0" collapsed="false">
      <c r="A62" s="6" t="s">
        <v>122</v>
      </c>
      <c r="B62" s="13" t="n">
        <v>130</v>
      </c>
    </row>
  </sheetData>
  <mergeCells count="1">
    <mergeCell ref="A1:C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6B75"/>
    <pageSetUpPr fitToPage="false"/>
  </sheetPr>
  <dimension ref="A1:I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8" min="2" style="1" width="15"/>
    <col collapsed="false" customWidth="true" hidden="false" outlineLevel="0" max="9" min="9" style="1" width="13"/>
  </cols>
  <sheetData>
    <row r="1" customFormat="false" ht="19.5" hidden="false" customHeight="true" outlineLevel="0" collapsed="false">
      <c r="A1" s="2" t="s">
        <v>123</v>
      </c>
      <c r="B1" s="2"/>
      <c r="C1" s="2"/>
      <c r="D1" s="2"/>
      <c r="E1" s="2"/>
      <c r="F1" s="2"/>
      <c r="G1" s="2"/>
      <c r="H1" s="2"/>
    </row>
    <row r="2" customFormat="false" ht="13.5" hidden="false" customHeight="true" outlineLevel="0" collapsed="false">
      <c r="A2" s="3" t="s">
        <v>124</v>
      </c>
    </row>
    <row r="4" customFormat="false" ht="27.75" hidden="false" customHeight="true" outlineLevel="0" collapsed="false">
      <c r="A4" s="24" t="s">
        <v>125</v>
      </c>
      <c r="B4" s="25" t="s">
        <v>126</v>
      </c>
      <c r="C4" s="25" t="s">
        <v>127</v>
      </c>
      <c r="D4" s="25" t="s">
        <v>128</v>
      </c>
      <c r="E4" s="25" t="s">
        <v>129</v>
      </c>
      <c r="F4" s="25" t="s">
        <v>130</v>
      </c>
      <c r="G4" s="25" t="s">
        <v>131</v>
      </c>
      <c r="H4" s="25" t="s">
        <v>132</v>
      </c>
      <c r="I4" s="26" t="s">
        <v>133</v>
      </c>
    </row>
    <row r="5" customFormat="false" ht="15.75" hidden="false" customHeight="true" outlineLevel="0" collapsed="false">
      <c r="A5" s="7" t="s">
        <v>134</v>
      </c>
      <c r="B5" s="8"/>
      <c r="C5" s="8"/>
      <c r="D5" s="8"/>
      <c r="E5" s="8"/>
      <c r="F5" s="8"/>
      <c r="G5" s="8"/>
      <c r="H5" s="8"/>
    </row>
    <row r="6" customFormat="false" ht="15" hidden="false" customHeight="true" outlineLevel="0" collapsed="false">
      <c r="A6" s="27" t="s">
        <v>135</v>
      </c>
      <c r="B6" s="28" t="n">
        <v>88620061</v>
      </c>
      <c r="C6" s="28" t="n">
        <v>81764856</v>
      </c>
      <c r="D6" s="29" t="n">
        <f aca="false">C6*(1+Assumptions!$B$14)</f>
        <v>88306044.48</v>
      </c>
      <c r="E6" s="29" t="n">
        <f aca="false">D6*(1+Assumptions!$B$15)</f>
        <v>96253588.4832</v>
      </c>
      <c r="F6" s="29" t="n">
        <f aca="false">E6*(1+Assumptions!$B$16)</f>
        <v>104916411.446688</v>
      </c>
      <c r="G6" s="29" t="n">
        <f aca="false">F6*(1+Assumptions!$B$17)</f>
        <v>115408052.591357</v>
      </c>
      <c r="H6" s="29" t="n">
        <f aca="false">G6*(1+Assumptions!$B$18)</f>
        <v>126948857.850493</v>
      </c>
      <c r="I6" s="30" t="n">
        <f aca="false">(C6-B6)/ABS(B6)</f>
        <v>-0.07735500204632</v>
      </c>
    </row>
    <row r="7" customFormat="false" ht="15" hidden="false" customHeight="true" outlineLevel="0" collapsed="false">
      <c r="A7" s="27" t="s">
        <v>136</v>
      </c>
      <c r="B7" s="28" t="n">
        <v>-41173285</v>
      </c>
      <c r="C7" s="28" t="n">
        <v>-24053334</v>
      </c>
      <c r="D7" s="29" t="n">
        <f aca="false">C7*(1+Assumptions!$B$14)</f>
        <v>-25977600.72</v>
      </c>
      <c r="E7" s="29" t="n">
        <f aca="false">D7*(1+Assumptions!$B$15)</f>
        <v>-28315584.7848</v>
      </c>
      <c r="F7" s="29" t="n">
        <f aca="false">E7*(1+Assumptions!$B$16)</f>
        <v>-30863987.415432</v>
      </c>
      <c r="G7" s="29" t="n">
        <f aca="false">F7*(1+Assumptions!$B$17)</f>
        <v>-33950386.1569752</v>
      </c>
      <c r="H7" s="29" t="n">
        <f aca="false">G7*(1+Assumptions!$B$18)</f>
        <v>-37345424.7726727</v>
      </c>
      <c r="I7" s="30" t="n">
        <f aca="false">(C7-B7)/ABS(B7)</f>
        <v>0.415802406827631</v>
      </c>
    </row>
    <row r="8" customFormat="false" ht="15" hidden="false" customHeight="true" outlineLevel="0" collapsed="false">
      <c r="A8" s="31" t="s">
        <v>137</v>
      </c>
      <c r="B8" s="32" t="n">
        <v>47446776</v>
      </c>
      <c r="C8" s="32" t="n">
        <v>57711522</v>
      </c>
      <c r="D8" s="32" t="n">
        <f aca="false">D6+D7</f>
        <v>62328443.76</v>
      </c>
      <c r="E8" s="32" t="n">
        <f aca="false">E6+E7</f>
        <v>67938003.6984</v>
      </c>
      <c r="F8" s="32" t="n">
        <f aca="false">F6+F7</f>
        <v>74052424.031256</v>
      </c>
      <c r="G8" s="32" t="n">
        <f aca="false">G6+G7</f>
        <v>81457666.4343816</v>
      </c>
      <c r="H8" s="32" t="n">
        <f aca="false">H6+H7</f>
        <v>89603433.0778198</v>
      </c>
      <c r="I8" s="30" t="n">
        <f aca="false">(C8-B8)/ABS(B8)</f>
        <v>0.21634232850721</v>
      </c>
    </row>
    <row r="10" customFormat="false" ht="15.75" hidden="false" customHeight="true" outlineLevel="0" collapsed="false">
      <c r="A10" s="7" t="s">
        <v>138</v>
      </c>
      <c r="B10" s="8"/>
      <c r="C10" s="8"/>
      <c r="D10" s="8"/>
      <c r="E10" s="8"/>
      <c r="F10" s="8"/>
      <c r="G10" s="8"/>
      <c r="H10" s="8"/>
    </row>
    <row r="11" customFormat="false" ht="15" hidden="false" customHeight="true" outlineLevel="0" collapsed="false">
      <c r="A11" s="27" t="s">
        <v>139</v>
      </c>
      <c r="B11" s="28" t="n">
        <v>6221872</v>
      </c>
      <c r="C11" s="28" t="n">
        <v>6034076</v>
      </c>
      <c r="D11" s="29" t="n">
        <f aca="false">C11*(1+Assumptions!$B$19)</f>
        <v>6335779.8</v>
      </c>
      <c r="E11" s="29" t="n">
        <f aca="false">D11*(1+Assumptions!$B$20)</f>
        <v>6715926.588</v>
      </c>
      <c r="F11" s="29" t="n">
        <f aca="false">E11*(1+Assumptions!$B$21)</f>
        <v>7118882.18328</v>
      </c>
      <c r="G11" s="29" t="n">
        <f aca="false">F11*(1+Assumptions!$B$22)</f>
        <v>7617203.9361096</v>
      </c>
      <c r="H11" s="29" t="n">
        <f aca="false">G11*(1+Assumptions!$B$23)</f>
        <v>8150408.21163727</v>
      </c>
      <c r="I11" s="30" t="n">
        <f aca="false">(C11-B11)/ABS(B11)</f>
        <v>-0.0301831988829086</v>
      </c>
    </row>
    <row r="12" customFormat="false" ht="15" hidden="false" customHeight="true" outlineLevel="0" collapsed="false">
      <c r="A12" s="27" t="s">
        <v>140</v>
      </c>
      <c r="B12" s="28" t="n">
        <v>-641293</v>
      </c>
      <c r="C12" s="28" t="n">
        <v>-637585</v>
      </c>
      <c r="D12" s="29" t="n">
        <f aca="false">C12*(1+Assumptions!$B$19)</f>
        <v>-669464.25</v>
      </c>
      <c r="E12" s="29" t="n">
        <f aca="false">D12*(1+Assumptions!$B$20)</f>
        <v>-709632.105</v>
      </c>
      <c r="F12" s="29" t="n">
        <f aca="false">E12*(1+Assumptions!$B$21)</f>
        <v>-752210.0313</v>
      </c>
      <c r="G12" s="29" t="n">
        <f aca="false">F12*(1+Assumptions!$B$22)</f>
        <v>-804864.733491</v>
      </c>
      <c r="H12" s="29" t="n">
        <f aca="false">G12*(1+Assumptions!$B$23)</f>
        <v>-861205.26483537</v>
      </c>
      <c r="I12" s="30" t="n">
        <f aca="false">(C12-B12)/ABS(B12)</f>
        <v>0.00578206841490551</v>
      </c>
    </row>
    <row r="13" customFormat="false" ht="15" hidden="false" customHeight="true" outlineLevel="0" collapsed="false">
      <c r="A13" s="27" t="s">
        <v>141</v>
      </c>
      <c r="B13" s="28" t="n">
        <v>5580579</v>
      </c>
      <c r="C13" s="28" t="n">
        <v>5396491</v>
      </c>
      <c r="D13" s="17" t="n">
        <f aca="false">D11+D12</f>
        <v>5666315.55</v>
      </c>
      <c r="E13" s="17" t="n">
        <f aca="false">E11+E12</f>
        <v>6006294.483</v>
      </c>
      <c r="F13" s="17" t="n">
        <f aca="false">F11+F12</f>
        <v>6366672.15198</v>
      </c>
      <c r="G13" s="17" t="n">
        <f aca="false">G11+G12</f>
        <v>6812339.2026186</v>
      </c>
      <c r="H13" s="17" t="n">
        <f aca="false">H11+H12</f>
        <v>7289202.9468019</v>
      </c>
      <c r="I13" s="30" t="n">
        <f aca="false">(C13-B13)/ABS(B13)</f>
        <v>-0.0329872581321759</v>
      </c>
    </row>
    <row r="14" customFormat="false" ht="15" hidden="false" customHeight="true" outlineLevel="0" collapsed="false">
      <c r="A14" s="27" t="s">
        <v>142</v>
      </c>
      <c r="B14" s="28" t="n">
        <v>1221941</v>
      </c>
      <c r="C14" s="28" t="n">
        <v>1591120</v>
      </c>
      <c r="D14" s="29" t="n">
        <f aca="false">C14*(1+Assumptions!$B$19)</f>
        <v>1670676</v>
      </c>
      <c r="E14" s="29" t="n">
        <f aca="false">D14*(1+Assumptions!$B$20)</f>
        <v>1770916.56</v>
      </c>
      <c r="F14" s="29" t="n">
        <f aca="false">E14*(1+Assumptions!$B$21)</f>
        <v>1877171.5536</v>
      </c>
      <c r="G14" s="29" t="n">
        <f aca="false">F14*(1+Assumptions!$B$22)</f>
        <v>2008573.562352</v>
      </c>
      <c r="H14" s="29" t="n">
        <f aca="false">G14*(1+Assumptions!$B$23)</f>
        <v>2149173.71171664</v>
      </c>
      <c r="I14" s="30" t="n">
        <f aca="false">(C14-B14)/ABS(B14)</f>
        <v>0.302125061684648</v>
      </c>
    </row>
    <row r="15" customFormat="false" ht="15" hidden="false" customHeight="true" outlineLevel="0" collapsed="false">
      <c r="A15" s="27" t="s">
        <v>143</v>
      </c>
      <c r="B15" s="28" t="n">
        <v>6249763</v>
      </c>
      <c r="C15" s="28" t="n">
        <v>5079771</v>
      </c>
      <c r="D15" s="29" t="n">
        <f aca="false">C15*(1+Assumptions!$B$19)</f>
        <v>5333759.55</v>
      </c>
      <c r="E15" s="29" t="n">
        <f aca="false">D15*(1+Assumptions!$B$20)</f>
        <v>5653785.123</v>
      </c>
      <c r="F15" s="29" t="n">
        <f aca="false">E15*(1+Assumptions!$B$21)</f>
        <v>5993012.23038</v>
      </c>
      <c r="G15" s="29" t="n">
        <f aca="false">F15*(1+Assumptions!$B$22)</f>
        <v>6412523.0865066</v>
      </c>
      <c r="H15" s="29" t="n">
        <f aca="false">G15*(1+Assumptions!$B$23)</f>
        <v>6861399.70256206</v>
      </c>
      <c r="I15" s="30" t="n">
        <f aca="false">(C15-B15)/ABS(B15)</f>
        <v>-0.187205818844651</v>
      </c>
    </row>
    <row r="16" customFormat="false" ht="15" hidden="false" customHeight="true" outlineLevel="0" collapsed="false">
      <c r="A16" s="27" t="s">
        <v>144</v>
      </c>
      <c r="B16" s="28" t="n">
        <v>2234229</v>
      </c>
      <c r="C16" s="28" t="n">
        <v>2677392</v>
      </c>
      <c r="D16" s="29" t="n">
        <f aca="false">C16*(1+Assumptions!$B$19)</f>
        <v>2811261.6</v>
      </c>
      <c r="E16" s="29" t="n">
        <f aca="false">D16*(1+Assumptions!$B$20)</f>
        <v>2979937.296</v>
      </c>
      <c r="F16" s="29" t="n">
        <f aca="false">E16*(1+Assumptions!$B$21)</f>
        <v>3158733.53376</v>
      </c>
      <c r="G16" s="29" t="n">
        <f aca="false">F16*(1+Assumptions!$B$22)</f>
        <v>3379844.8811232</v>
      </c>
      <c r="H16" s="29" t="n">
        <f aca="false">G16*(1+Assumptions!$B$23)</f>
        <v>3616434.02280183</v>
      </c>
      <c r="I16" s="30" t="n">
        <f aca="false">(C16-B16)/ABS(B16)</f>
        <v>0.198351646138332</v>
      </c>
    </row>
    <row r="17" customFormat="false" ht="15" hidden="false" customHeight="true" outlineLevel="0" collapsed="false">
      <c r="A17" s="27" t="s">
        <v>145</v>
      </c>
      <c r="B17" s="28" t="n">
        <v>-742909</v>
      </c>
      <c r="C17" s="28" t="n">
        <v>-624601</v>
      </c>
      <c r="D17" s="29" t="n">
        <f aca="false">C17*(1+Assumptions!$B$19)</f>
        <v>-655831.05</v>
      </c>
      <c r="E17" s="29" t="n">
        <f aca="false">D17*(1+Assumptions!$B$20)</f>
        <v>-695180.913</v>
      </c>
      <c r="F17" s="29" t="n">
        <f aca="false">E17*(1+Assumptions!$B$21)</f>
        <v>-736891.76778</v>
      </c>
      <c r="G17" s="29" t="n">
        <f aca="false">F17*(1+Assumptions!$B$22)</f>
        <v>-788474.1915246</v>
      </c>
      <c r="H17" s="29" t="n">
        <f aca="false">G17*(1+Assumptions!$B$23)</f>
        <v>-843667.384931322</v>
      </c>
      <c r="I17" s="30" t="n">
        <f aca="false">(C17-B17)/ABS(B17)</f>
        <v>0.159249652380036</v>
      </c>
    </row>
    <row r="18" customFormat="false" ht="15" hidden="false" customHeight="true" outlineLevel="0" collapsed="false">
      <c r="A18" s="31" t="s">
        <v>146</v>
      </c>
      <c r="B18" s="32" t="n">
        <v>14543565</v>
      </c>
      <c r="C18" s="32" t="n">
        <v>14120431</v>
      </c>
      <c r="D18" s="32" t="n">
        <f aca="false">SUM(D11:D17)</f>
        <v>20492497.2</v>
      </c>
      <c r="E18" s="32" t="n">
        <f aca="false">SUM(E11:E17)</f>
        <v>21722047.032</v>
      </c>
      <c r="F18" s="32" t="n">
        <f aca="false">SUM(F11:F17)</f>
        <v>23025369.85392</v>
      </c>
      <c r="G18" s="32" t="n">
        <f aca="false">SUM(G11:G17)</f>
        <v>24637145.7436944</v>
      </c>
      <c r="H18" s="32" t="n">
        <f aca="false">SUM(H11:H17)</f>
        <v>26361745.945753</v>
      </c>
      <c r="I18" s="30" t="n">
        <f aca="false">(C18-B18)/ABS(B18)</f>
        <v>-0.0290942420238779</v>
      </c>
    </row>
    <row r="20" customFormat="false" ht="15" hidden="false" customHeight="true" outlineLevel="0" collapsed="false">
      <c r="A20" s="31" t="s">
        <v>147</v>
      </c>
      <c r="B20" s="32" t="n">
        <v>61990341</v>
      </c>
      <c r="C20" s="32" t="n">
        <v>71831953</v>
      </c>
      <c r="D20" s="32" t="n">
        <f aca="false">D8+D18</f>
        <v>82820940.96</v>
      </c>
      <c r="E20" s="32" t="n">
        <f aca="false">E8+E18</f>
        <v>89660050.7304</v>
      </c>
      <c r="F20" s="32" t="n">
        <f aca="false">F8+F18</f>
        <v>97077793.885176</v>
      </c>
      <c r="G20" s="32" t="n">
        <f aca="false">G8+G18</f>
        <v>106094812.178076</v>
      </c>
      <c r="H20" s="32" t="n">
        <f aca="false">H8+H18</f>
        <v>115965179.023573</v>
      </c>
      <c r="I20" s="30" t="n">
        <f aca="false">(C20-B20)/ABS(B20)</f>
        <v>0.158760410754959</v>
      </c>
    </row>
    <row r="22" customFormat="false" ht="15.75" hidden="false" customHeight="true" outlineLevel="0" collapsed="false">
      <c r="A22" s="7" t="s">
        <v>148</v>
      </c>
      <c r="B22" s="8"/>
      <c r="C22" s="8"/>
      <c r="D22" s="8"/>
      <c r="E22" s="8"/>
      <c r="F22" s="8"/>
      <c r="G22" s="8"/>
      <c r="H22" s="8"/>
    </row>
    <row r="23" customFormat="false" ht="15" hidden="false" customHeight="true" outlineLevel="0" collapsed="false">
      <c r="A23" s="27" t="s">
        <v>149</v>
      </c>
      <c r="B23" s="28" t="n">
        <v>-18230000</v>
      </c>
      <c r="C23" s="28" t="n">
        <v>-21200000</v>
      </c>
      <c r="D23" s="29" t="n">
        <f aca="false">C23*(1+Assumptions!$B$24)</f>
        <v>-23320000</v>
      </c>
      <c r="E23" s="29" t="n">
        <f aca="false">D23*(1+Assumptions!$B$25)</f>
        <v>-25185600</v>
      </c>
      <c r="F23" s="29" t="n">
        <f aca="false">E23*(1+Assumptions!$B$26)</f>
        <v>-27200448</v>
      </c>
      <c r="G23" s="29" t="n">
        <f aca="false">F23*(1+Assumptions!$B$27)</f>
        <v>-29104479.36</v>
      </c>
      <c r="H23" s="29" t="n">
        <f aca="false">G23*(1+Assumptions!$B$28)</f>
        <v>-31141792.9152</v>
      </c>
      <c r="I23" s="30" t="n">
        <f aca="false">(C23-B23)/ABS(B23)</f>
        <v>-0.162918266593527</v>
      </c>
    </row>
    <row r="24" customFormat="false" ht="15" hidden="false" customHeight="true" outlineLevel="0" collapsed="false">
      <c r="A24" s="27" t="s">
        <v>150</v>
      </c>
      <c r="B24" s="28" t="n">
        <v>-13659883</v>
      </c>
      <c r="C24" s="28" t="n">
        <v>-15931182</v>
      </c>
      <c r="D24" s="29" t="n">
        <f aca="false">C24*(1+Assumptions!$B$24)</f>
        <v>-17524300.2</v>
      </c>
      <c r="E24" s="29" t="n">
        <f aca="false">D24*(1+Assumptions!$B$25)</f>
        <v>-18926244.216</v>
      </c>
      <c r="F24" s="29" t="n">
        <f aca="false">E24*(1+Assumptions!$B$26)</f>
        <v>-20440343.75328</v>
      </c>
      <c r="G24" s="29" t="n">
        <f aca="false">F24*(1+Assumptions!$B$27)</f>
        <v>-21871167.8160096</v>
      </c>
      <c r="H24" s="29" t="n">
        <f aca="false">G24*(1+Assumptions!$B$28)</f>
        <v>-23402149.5631303</v>
      </c>
      <c r="I24" s="30" t="n">
        <f aca="false">(C24-B24)/ABS(B24)</f>
        <v>-0.166275143059424</v>
      </c>
    </row>
    <row r="25" customFormat="false" ht="15" hidden="false" customHeight="true" outlineLevel="0" collapsed="false">
      <c r="A25" s="31" t="s">
        <v>151</v>
      </c>
      <c r="B25" s="32" t="n">
        <v>-31889883</v>
      </c>
      <c r="C25" s="32" t="n">
        <v>-37131182</v>
      </c>
      <c r="D25" s="32" t="n">
        <f aca="false">D23+D24</f>
        <v>-40844300.2</v>
      </c>
      <c r="E25" s="32" t="n">
        <f aca="false">E23+E24</f>
        <v>-44111844.216</v>
      </c>
      <c r="F25" s="32" t="n">
        <f aca="false">F23+F24</f>
        <v>-47640791.75328</v>
      </c>
      <c r="G25" s="32" t="n">
        <f aca="false">G23+G24</f>
        <v>-50975647.1760096</v>
      </c>
      <c r="H25" s="32" t="n">
        <f aca="false">H23+H24</f>
        <v>-54543942.4783303</v>
      </c>
      <c r="I25" s="30" t="n">
        <f aca="false">(C25-B25)/ABS(B25)</f>
        <v>-0.164356169008209</v>
      </c>
    </row>
    <row r="27" customFormat="false" ht="15" hidden="false" customHeight="true" outlineLevel="0" collapsed="false">
      <c r="A27" s="31" t="s">
        <v>152</v>
      </c>
      <c r="B27" s="32" t="n">
        <v>30100458</v>
      </c>
      <c r="C27" s="32" t="n">
        <v>34700771</v>
      </c>
      <c r="D27" s="32" t="n">
        <f aca="false">D20+D25</f>
        <v>41976640.76</v>
      </c>
      <c r="E27" s="32" t="n">
        <f aca="false">E20+E25</f>
        <v>45548206.5144</v>
      </c>
      <c r="F27" s="32" t="n">
        <f aca="false">F20+F25</f>
        <v>49437002.131896</v>
      </c>
      <c r="G27" s="32" t="n">
        <f aca="false">G20+G25</f>
        <v>55119165.0020664</v>
      </c>
      <c r="H27" s="32" t="n">
        <f aca="false">H20+H25</f>
        <v>61421236.5452425</v>
      </c>
      <c r="I27" s="30" t="n">
        <f aca="false">(C27-B27)/ABS(B27)</f>
        <v>0.152831993453389</v>
      </c>
    </row>
    <row r="29" customFormat="false" ht="15" hidden="false" customHeight="true" outlineLevel="0" collapsed="false">
      <c r="A29" s="6" t="s">
        <v>153</v>
      </c>
      <c r="B29" s="28" t="n">
        <v>-5046435</v>
      </c>
      <c r="C29" s="28" t="n">
        <v>-6902153</v>
      </c>
      <c r="D29" s="17" t="n">
        <f aca="false">-Assumptions!$B$29*D20</f>
        <v>-7950810.33216</v>
      </c>
      <c r="E29" s="17" t="n">
        <f aca="false">-Assumptions!$B$29*E20</f>
        <v>-8607364.8701184</v>
      </c>
      <c r="F29" s="17" t="n">
        <f aca="false">-Assumptions!$B$29*F20</f>
        <v>-9319468.2129769</v>
      </c>
      <c r="G29" s="17" t="n">
        <f aca="false">-Assumptions!$B$29*G20</f>
        <v>-10185101.9690953</v>
      </c>
      <c r="H29" s="17" t="n">
        <f aca="false">-Assumptions!$B$29*H20</f>
        <v>-11132657.186263</v>
      </c>
      <c r="I29" s="30" t="n">
        <f aca="false">(C29-B29)/ABS(B29)</f>
        <v>-0.367728505370623</v>
      </c>
    </row>
    <row r="30" customFormat="false" ht="15" hidden="false" customHeight="true" outlineLevel="0" collapsed="false">
      <c r="A30" s="6" t="s">
        <v>154</v>
      </c>
      <c r="B30" s="28" t="n">
        <v>87025</v>
      </c>
      <c r="C30" s="28" t="n">
        <v>91612</v>
      </c>
      <c r="D30" s="17" t="n">
        <f aca="false">C30*1.03</f>
        <v>94360.36</v>
      </c>
      <c r="E30" s="17" t="n">
        <f aca="false">D30*1.03</f>
        <v>97191.1708</v>
      </c>
      <c r="F30" s="17" t="n">
        <f aca="false">E30*1.03</f>
        <v>100106.905924</v>
      </c>
      <c r="G30" s="17" t="n">
        <f aca="false">F30*1.03</f>
        <v>103110.11310172</v>
      </c>
      <c r="H30" s="17" t="n">
        <f aca="false">G30*1.03</f>
        <v>106203.416494772</v>
      </c>
      <c r="I30" s="30" t="n">
        <f aca="false">(C30-B30)/ABS(B30)</f>
        <v>0.0527089916690606</v>
      </c>
    </row>
    <row r="31" customFormat="false" ht="15" hidden="false" customHeight="true" outlineLevel="0" collapsed="false">
      <c r="A31" s="31" t="s">
        <v>155</v>
      </c>
      <c r="B31" s="32" t="n">
        <v>25141048</v>
      </c>
      <c r="C31" s="32" t="n">
        <v>27890230</v>
      </c>
      <c r="D31" s="32" t="n">
        <f aca="false">D27+D29+D30</f>
        <v>34120190.78784</v>
      </c>
      <c r="E31" s="32" t="n">
        <f aca="false">E27+E29+E30</f>
        <v>37038032.8150816</v>
      </c>
      <c r="F31" s="32" t="n">
        <f aca="false">F27+F29+F30</f>
        <v>40217640.8248431</v>
      </c>
      <c r="G31" s="32" t="n">
        <f aca="false">G27+G29+G30</f>
        <v>45037173.1460728</v>
      </c>
      <c r="H31" s="32" t="n">
        <f aca="false">H27+H29+H30</f>
        <v>50394782.7754743</v>
      </c>
      <c r="I31" s="30" t="n">
        <f aca="false">(C31-B31)/ABS(B31)</f>
        <v>0.109350334162681</v>
      </c>
    </row>
    <row r="32" customFormat="false" ht="15" hidden="false" customHeight="true" outlineLevel="0" collapsed="false">
      <c r="A32" s="6" t="s">
        <v>156</v>
      </c>
      <c r="B32" s="28" t="n">
        <v>-3275281</v>
      </c>
      <c r="C32" s="28" t="n">
        <v>-4496712</v>
      </c>
      <c r="D32" s="17" t="n">
        <f aca="false">-Assumptions!$B$36*D31</f>
        <v>-5493350.71684224</v>
      </c>
      <c r="E32" s="17" t="n">
        <f aca="false">-Assumptions!$B$36*E31</f>
        <v>-5963123.28322814</v>
      </c>
      <c r="F32" s="17" t="n">
        <f aca="false">-Assumptions!$B$36*F31</f>
        <v>-6475040.17279974</v>
      </c>
      <c r="G32" s="17" t="n">
        <f aca="false">-Assumptions!$B$36*G31</f>
        <v>-7250984.87651773</v>
      </c>
      <c r="H32" s="17" t="n">
        <f aca="false">-Assumptions!$B$36*H31</f>
        <v>-8113560.02685136</v>
      </c>
      <c r="I32" s="30" t="n">
        <f aca="false">(C32-B32)/ABS(B32)</f>
        <v>-0.372924033082963</v>
      </c>
    </row>
    <row r="33" customFormat="false" ht="15" hidden="false" customHeight="true" outlineLevel="0" collapsed="false">
      <c r="A33" s="31" t="s">
        <v>157</v>
      </c>
      <c r="B33" s="32" t="n">
        <v>21865767</v>
      </c>
      <c r="C33" s="32" t="n">
        <v>23393518</v>
      </c>
      <c r="D33" s="32" t="n">
        <f aca="false">D31+D32</f>
        <v>28626840.0709978</v>
      </c>
      <c r="E33" s="32" t="n">
        <f aca="false">E31+E32</f>
        <v>31074909.5318535</v>
      </c>
      <c r="F33" s="32" t="n">
        <f aca="false">F31+F32</f>
        <v>33742600.6520434</v>
      </c>
      <c r="G33" s="32" t="n">
        <f aca="false">G31+G32</f>
        <v>37786188.2695551</v>
      </c>
      <c r="H33" s="32" t="n">
        <f aca="false">H31+H32</f>
        <v>42281222.7486229</v>
      </c>
      <c r="I33" s="30" t="n">
        <f aca="false">(C33-B33)/ABS(B33)</f>
        <v>0.0698695362481453</v>
      </c>
    </row>
    <row r="35" customFormat="false" ht="15.75" hidden="false" customHeight="true" outlineLevel="0" collapsed="false">
      <c r="A35" s="7" t="s">
        <v>158</v>
      </c>
      <c r="B35" s="8"/>
      <c r="C35" s="8"/>
      <c r="D35" s="8"/>
      <c r="E35" s="8"/>
      <c r="F35" s="8"/>
      <c r="G35" s="8"/>
      <c r="H35" s="8"/>
    </row>
    <row r="36" customFormat="false" ht="15" hidden="false" customHeight="true" outlineLevel="0" collapsed="false">
      <c r="A36" s="6" t="s">
        <v>159</v>
      </c>
      <c r="B36" s="33" t="n">
        <v>13.28</v>
      </c>
      <c r="C36" s="33" t="n">
        <v>14.2</v>
      </c>
      <c r="D36" s="34" t="n">
        <f aca="false">D33/1647519</f>
        <v>17.3757268177167</v>
      </c>
      <c r="E36" s="34" t="n">
        <f aca="false">E33/1647519</f>
        <v>18.8616395512607</v>
      </c>
      <c r="F36" s="34" t="n">
        <f aca="false">F33/1647519</f>
        <v>20.4808567622245</v>
      </c>
      <c r="G36" s="34" t="n">
        <f aca="false">G33/1647519</f>
        <v>22.9352063736777</v>
      </c>
      <c r="H36" s="34" t="n">
        <f aca="false">H33/1647519</f>
        <v>25.663572164341</v>
      </c>
      <c r="I36" s="30" t="n">
        <f aca="false">(C36-B36)/ABS(B36)</f>
        <v>0.0692771084337349</v>
      </c>
    </row>
    <row r="37" customFormat="false" ht="15" hidden="false" customHeight="true" outlineLevel="0" collapsed="false">
      <c r="A37" s="6" t="s">
        <v>160</v>
      </c>
      <c r="B37" s="33" t="n">
        <v>5.5</v>
      </c>
      <c r="C37" s="33" t="n">
        <v>7.1</v>
      </c>
      <c r="D37" s="34" t="n">
        <f aca="false">D36*Assumptions!$B$37</f>
        <v>10.42543609063</v>
      </c>
      <c r="E37" s="34" t="n">
        <f aca="false">E36*Assumptions!$B$37</f>
        <v>11.3169837307564</v>
      </c>
      <c r="F37" s="34" t="n">
        <f aca="false">F36*Assumptions!$B$37</f>
        <v>12.2885140573347</v>
      </c>
      <c r="G37" s="34" t="n">
        <f aca="false">G36*Assumptions!$B$37</f>
        <v>13.7611238242066</v>
      </c>
      <c r="H37" s="34" t="n">
        <f aca="false">H36*Assumptions!$B$37</f>
        <v>15.3981432986046</v>
      </c>
      <c r="I37" s="30" t="n">
        <f aca="false">(C37-B37)/ABS(B37)</f>
        <v>0.290909090909091</v>
      </c>
    </row>
    <row r="38" customFormat="false" ht="15" hidden="false" customHeight="true" outlineLevel="0" collapsed="false">
      <c r="A38" s="6" t="s">
        <v>161</v>
      </c>
      <c r="B38" s="28" t="n">
        <v>1647519</v>
      </c>
      <c r="C38" s="28" t="n">
        <v>1647519</v>
      </c>
      <c r="D38" s="17" t="n">
        <f aca="false">1647519</f>
        <v>1647519</v>
      </c>
      <c r="E38" s="17" t="n">
        <f aca="false">1647519</f>
        <v>1647519</v>
      </c>
      <c r="F38" s="17" t="n">
        <f aca="false">1647519</f>
        <v>1647519</v>
      </c>
      <c r="G38" s="17" t="n">
        <f aca="false">1647519</f>
        <v>1647519</v>
      </c>
      <c r="H38" s="17" t="n">
        <f aca="false">1647519</f>
        <v>1647519</v>
      </c>
      <c r="I38" s="30" t="n">
        <f aca="false">(C38-B38)/ABS(B38)</f>
        <v>0</v>
      </c>
    </row>
    <row r="40" customFormat="false" ht="15.75" hidden="false" customHeight="true" outlineLevel="0" collapsed="false">
      <c r="A40" s="7" t="s">
        <v>162</v>
      </c>
      <c r="B40" s="8"/>
      <c r="C40" s="8"/>
      <c r="D40" s="8"/>
      <c r="E40" s="8"/>
      <c r="F40" s="8"/>
      <c r="G40" s="8"/>
      <c r="H40" s="8"/>
    </row>
    <row r="41" customFormat="false" ht="15" hidden="false" customHeight="true" outlineLevel="0" collapsed="false">
      <c r="A41" s="27" t="s">
        <v>163</v>
      </c>
      <c r="B41" s="35" t="n">
        <v>0.077</v>
      </c>
      <c r="C41" s="35" t="n">
        <v>0.087</v>
      </c>
      <c r="D41" s="30" t="n">
        <f aca="false">D8/D20</f>
        <v>0.752568650362265</v>
      </c>
      <c r="E41" s="30" t="n">
        <f aca="false">E8/E20</f>
        <v>0.757728811716644</v>
      </c>
      <c r="F41" s="30" t="n">
        <f aca="false">F8/F20</f>
        <v>0.762815274921116</v>
      </c>
      <c r="G41" s="30" t="n">
        <f aca="false">G8/G20</f>
        <v>0.767781805369127</v>
      </c>
      <c r="H41" s="30" t="n">
        <f aca="false">H8/H20</f>
        <v>0.772675330925033</v>
      </c>
      <c r="I41" s="30" t="n">
        <f aca="false">(C41-B41)/ABS(B41)</f>
        <v>0.12987012987013</v>
      </c>
    </row>
    <row r="42" customFormat="false" ht="15" hidden="false" customHeight="true" outlineLevel="0" collapsed="false">
      <c r="A42" s="27" t="s">
        <v>164</v>
      </c>
      <c r="B42" s="35" t="n">
        <v>0.5145</v>
      </c>
      <c r="C42" s="35" t="n">
        <v>0.517</v>
      </c>
      <c r="D42" s="30" t="n">
        <f aca="false">ABS(D25)/D20</f>
        <v>0.493163923599064</v>
      </c>
      <c r="E42" s="30" t="n">
        <f aca="false">ABS(E25)/E20</f>
        <v>0.491989953793808</v>
      </c>
      <c r="F42" s="30" t="n">
        <f aca="false">ABS(F25)/F20</f>
        <v>0.490748603224644</v>
      </c>
      <c r="G42" s="30" t="n">
        <f aca="false">ABS(G25)/G20</f>
        <v>0.480472570991021</v>
      </c>
      <c r="H42" s="30" t="n">
        <f aca="false">ABS(H25)/H20</f>
        <v>0.470347590005815</v>
      </c>
      <c r="I42" s="30" t="n">
        <f aca="false">(C42-B42)/ABS(B42)</f>
        <v>0.00485908649173967</v>
      </c>
    </row>
    <row r="43" customFormat="false" ht="15" hidden="false" customHeight="true" outlineLevel="0" collapsed="false">
      <c r="A43" s="27" t="s">
        <v>165</v>
      </c>
      <c r="B43" s="35" t="n">
        <v>0.1302</v>
      </c>
      <c r="C43" s="35" t="n">
        <v>0.1612</v>
      </c>
      <c r="D43" s="30" t="n">
        <f aca="false">ABS(D32)/D31</f>
        <v>0.161</v>
      </c>
      <c r="E43" s="30" t="n">
        <f aca="false">ABS(E32)/E31</f>
        <v>0.161</v>
      </c>
      <c r="F43" s="30" t="n">
        <f aca="false">ABS(F32)/F31</f>
        <v>0.161</v>
      </c>
      <c r="G43" s="30" t="n">
        <f aca="false">ABS(G32)/G31</f>
        <v>0.161</v>
      </c>
      <c r="H43" s="30" t="n">
        <f aca="false">ABS(H32)/H31</f>
        <v>0.161</v>
      </c>
      <c r="I43" s="30" t="n">
        <f aca="false">(C43-B43)/ABS(B43)</f>
        <v>0.238095238095238</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6B75"/>
    <pageSetUpPr fitToPage="false"/>
  </sheetPr>
  <dimension ref="A1:H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42"/>
    <col collapsed="false" customWidth="true" hidden="false" outlineLevel="0" max="9" min="2" style="1" width="15"/>
  </cols>
  <sheetData>
    <row r="1" customFormat="false" ht="19.5" hidden="false" customHeight="true" outlineLevel="0" collapsed="false">
      <c r="A1" s="2" t="s">
        <v>166</v>
      </c>
      <c r="B1" s="2"/>
      <c r="C1" s="2"/>
      <c r="D1" s="2"/>
      <c r="E1" s="2"/>
      <c r="F1" s="2"/>
      <c r="G1" s="2"/>
      <c r="H1" s="2"/>
    </row>
    <row r="2" customFormat="false" ht="15" hidden="false" customHeight="true" outlineLevel="0" collapsed="false">
      <c r="A2" s="3" t="s">
        <v>167</v>
      </c>
    </row>
    <row r="4" customFormat="false" ht="27.75" hidden="false" customHeight="true" outlineLevel="0" collapsed="false">
      <c r="A4" s="24" t="s">
        <v>125</v>
      </c>
      <c r="B4" s="25" t="s">
        <v>126</v>
      </c>
      <c r="C4" s="25" t="s">
        <v>127</v>
      </c>
      <c r="D4" s="25" t="s">
        <v>128</v>
      </c>
      <c r="E4" s="25" t="s">
        <v>129</v>
      </c>
      <c r="F4" s="25" t="s">
        <v>130</v>
      </c>
      <c r="G4" s="25" t="s">
        <v>131</v>
      </c>
      <c r="H4" s="25" t="s">
        <v>132</v>
      </c>
    </row>
    <row r="5" customFormat="false" ht="15.75" hidden="false" customHeight="true" outlineLevel="0" collapsed="false">
      <c r="A5" s="7" t="s">
        <v>168</v>
      </c>
      <c r="B5" s="8"/>
      <c r="C5" s="8"/>
      <c r="D5" s="8"/>
      <c r="E5" s="8"/>
      <c r="F5" s="8"/>
      <c r="G5" s="8"/>
      <c r="H5" s="8"/>
    </row>
    <row r="6" customFormat="false" ht="15" hidden="false" customHeight="true" outlineLevel="0" collapsed="false">
      <c r="A6" s="27" t="s">
        <v>169</v>
      </c>
      <c r="B6" s="28" t="n">
        <v>43679381</v>
      </c>
      <c r="C6" s="28" t="n">
        <v>63774068</v>
      </c>
      <c r="D6" s="29" t="n">
        <f aca="false">C6*1.05</f>
        <v>66962771.4</v>
      </c>
      <c r="E6" s="29" t="n">
        <f aca="false">D6*1.05</f>
        <v>70310909.97</v>
      </c>
      <c r="F6" s="29" t="n">
        <f aca="false">E6*1.05</f>
        <v>73826455.4685</v>
      </c>
      <c r="G6" s="29" t="n">
        <f aca="false">F6*1.05</f>
        <v>77517778.241925</v>
      </c>
      <c r="H6" s="29" t="n">
        <f aca="false">G6*1.05</f>
        <v>81393667.1540213</v>
      </c>
    </row>
    <row r="7" customFormat="false" ht="15" hidden="false" customHeight="true" outlineLevel="0" collapsed="false">
      <c r="A7" s="27" t="s">
        <v>170</v>
      </c>
      <c r="B7" s="28" t="n">
        <v>553733</v>
      </c>
      <c r="C7" s="28" t="n">
        <v>687951</v>
      </c>
      <c r="D7" s="29" t="n">
        <f aca="false">C7*1.03</f>
        <v>708589.53</v>
      </c>
      <c r="E7" s="29" t="n">
        <f aca="false">D7*1.03</f>
        <v>729847.2159</v>
      </c>
      <c r="F7" s="29" t="n">
        <f aca="false">E7*1.03</f>
        <v>751742.632377</v>
      </c>
      <c r="G7" s="29" t="n">
        <f aca="false">F7*1.03</f>
        <v>774294.91134831</v>
      </c>
      <c r="H7" s="29" t="n">
        <f aca="false">G7*1.03</f>
        <v>797523.758688759</v>
      </c>
    </row>
    <row r="8" customFormat="false" ht="15" hidden="false" customHeight="true" outlineLevel="0" collapsed="false">
      <c r="A8" s="27" t="s">
        <v>171</v>
      </c>
      <c r="B8" s="28" t="n">
        <v>52956080</v>
      </c>
      <c r="C8" s="28" t="n">
        <v>51367772</v>
      </c>
      <c r="D8" s="29" t="n">
        <f aca="false">C8*0.99</f>
        <v>50854094.28</v>
      </c>
      <c r="E8" s="29" t="n">
        <f aca="false">D8*0.99</f>
        <v>50345553.3372</v>
      </c>
      <c r="F8" s="29" t="n">
        <f aca="false">E8*0.99</f>
        <v>49842097.803828</v>
      </c>
      <c r="G8" s="29" t="n">
        <f aca="false">F8*0.99</f>
        <v>49343676.8257897</v>
      </c>
      <c r="H8" s="29" t="n">
        <f aca="false">G8*0.99</f>
        <v>48850240.0575318</v>
      </c>
    </row>
    <row r="9" customFormat="false" ht="15" hidden="false" customHeight="true" outlineLevel="0" collapsed="false">
      <c r="A9" s="27" t="s">
        <v>172</v>
      </c>
      <c r="B9" s="28" t="n">
        <v>207516292</v>
      </c>
      <c r="C9" s="28" t="n">
        <v>221551079</v>
      </c>
      <c r="D9" s="29" t="n">
        <f aca="false">C9*1.05</f>
        <v>232628632.95</v>
      </c>
      <c r="E9" s="29" t="n">
        <f aca="false">D9*1.05</f>
        <v>244260064.5975</v>
      </c>
      <c r="F9" s="29" t="n">
        <f aca="false">E9*1.05</f>
        <v>256473067.827375</v>
      </c>
      <c r="G9" s="29" t="n">
        <f aca="false">F9*1.05</f>
        <v>269296721.218744</v>
      </c>
      <c r="H9" s="29" t="n">
        <f aca="false">G9*1.05</f>
        <v>282761557.279681</v>
      </c>
    </row>
    <row r="10" customFormat="false" ht="15" hidden="false" customHeight="true" outlineLevel="0" collapsed="false">
      <c r="A10" s="27" t="s">
        <v>173</v>
      </c>
      <c r="B10" s="28" t="n">
        <v>15226830</v>
      </c>
      <c r="C10" s="28" t="n">
        <v>15512628</v>
      </c>
      <c r="D10" s="29" t="n">
        <f aca="false">C10*1.03</f>
        <v>15978006.84</v>
      </c>
      <c r="E10" s="29" t="n">
        <f aca="false">D10*1.03</f>
        <v>16457347.0452</v>
      </c>
      <c r="F10" s="29" t="n">
        <f aca="false">E10*1.03</f>
        <v>16951067.456556</v>
      </c>
      <c r="G10" s="29" t="n">
        <f aca="false">F10*1.03</f>
        <v>17459599.4802527</v>
      </c>
      <c r="H10" s="29" t="n">
        <f aca="false">G10*1.03</f>
        <v>17983387.4646603</v>
      </c>
    </row>
    <row r="11" customFormat="false" ht="15" hidden="false" customHeight="true" outlineLevel="0" collapsed="false">
      <c r="A11" s="27" t="s">
        <v>174</v>
      </c>
      <c r="B11" s="28" t="n">
        <v>293932350</v>
      </c>
      <c r="C11" s="28" t="n">
        <v>306917975</v>
      </c>
      <c r="D11" s="29" t="n">
        <f aca="false">C11*(1+Assumptions!$B$30)</f>
        <v>325333053.5</v>
      </c>
      <c r="E11" s="29" t="n">
        <f aca="false">D11*(1+Assumptions!$B$30)</f>
        <v>344853036.71</v>
      </c>
      <c r="F11" s="29" t="n">
        <f aca="false">E11*(1+Assumptions!$B$30)</f>
        <v>365544218.9126</v>
      </c>
      <c r="G11" s="29" t="n">
        <f aca="false">F11*(1+Assumptions!$B$30)</f>
        <v>387476872.047356</v>
      </c>
      <c r="H11" s="29" t="n">
        <f aca="false">G11*(1+Assumptions!$B$30)</f>
        <v>410725484.370198</v>
      </c>
    </row>
    <row r="12" customFormat="false" ht="15" hidden="false" customHeight="true" outlineLevel="0" collapsed="false">
      <c r="A12" s="27" t="s">
        <v>175</v>
      </c>
      <c r="B12" s="28" t="n">
        <v>45414083</v>
      </c>
      <c r="C12" s="28" t="n">
        <v>49610431</v>
      </c>
      <c r="D12" s="29" t="n">
        <f aca="false">C12*1.05</f>
        <v>52090952.55</v>
      </c>
      <c r="E12" s="29" t="n">
        <f aca="false">D12*1.05</f>
        <v>54695500.1775</v>
      </c>
      <c r="F12" s="29" t="n">
        <f aca="false">E12*1.05</f>
        <v>57430275.186375</v>
      </c>
      <c r="G12" s="29" t="n">
        <f aca="false">F12*1.05</f>
        <v>60301788.9456938</v>
      </c>
      <c r="H12" s="29" t="n">
        <f aca="false">G12*1.05</f>
        <v>63316878.3929785</v>
      </c>
    </row>
    <row r="13" customFormat="false" ht="15" hidden="false" customHeight="true" outlineLevel="0" collapsed="false">
      <c r="A13" s="27" t="s">
        <v>176</v>
      </c>
      <c r="B13" s="28" t="n">
        <v>7489118</v>
      </c>
      <c r="C13" s="28" t="n">
        <v>7297963</v>
      </c>
      <c r="D13" s="29" t="n">
        <f aca="false">C13*0.97</f>
        <v>7079024.11</v>
      </c>
      <c r="E13" s="29" t="n">
        <f aca="false">D13*0.97</f>
        <v>6866653.3867</v>
      </c>
      <c r="F13" s="29" t="n">
        <f aca="false">E13*0.97</f>
        <v>6660653.785099</v>
      </c>
      <c r="G13" s="29" t="n">
        <f aca="false">F13*0.97</f>
        <v>6460834.17154603</v>
      </c>
      <c r="H13" s="29" t="n">
        <f aca="false">G13*0.97</f>
        <v>6267009.14639965</v>
      </c>
    </row>
    <row r="14" customFormat="false" ht="15" hidden="false" customHeight="true" outlineLevel="0" collapsed="false">
      <c r="A14" s="27" t="s">
        <v>177</v>
      </c>
      <c r="B14" s="28" t="n">
        <v>11786042</v>
      </c>
      <c r="C14" s="28" t="n">
        <v>11568785</v>
      </c>
      <c r="D14" s="29" t="n">
        <f aca="false">C14*1.02</f>
        <v>11800160.7</v>
      </c>
      <c r="E14" s="29" t="n">
        <f aca="false">D14*1.02</f>
        <v>12036163.914</v>
      </c>
      <c r="F14" s="29" t="n">
        <f aca="false">E14*1.02</f>
        <v>12276887.19228</v>
      </c>
      <c r="G14" s="29" t="n">
        <f aca="false">F14*1.02</f>
        <v>12522424.9361256</v>
      </c>
      <c r="H14" s="29" t="n">
        <f aca="false">G14*1.02</f>
        <v>12772873.4348481</v>
      </c>
    </row>
    <row r="15" customFormat="false" ht="15" hidden="false" customHeight="true" outlineLevel="0" collapsed="false">
      <c r="A15" s="27" t="s">
        <v>178</v>
      </c>
      <c r="B15" s="28" t="n">
        <v>13380830</v>
      </c>
      <c r="C15" s="28" t="n">
        <v>13371310</v>
      </c>
      <c r="D15" s="29" t="n">
        <f aca="false">C15*1</f>
        <v>13371310</v>
      </c>
      <c r="E15" s="29" t="n">
        <f aca="false">D15*1</f>
        <v>13371310</v>
      </c>
      <c r="F15" s="29" t="n">
        <f aca="false">E15*1</f>
        <v>13371310</v>
      </c>
      <c r="G15" s="29" t="n">
        <f aca="false">F15*1</f>
        <v>13371310</v>
      </c>
      <c r="H15" s="29" t="n">
        <f aca="false">G15*1</f>
        <v>13371310</v>
      </c>
    </row>
    <row r="16" customFormat="false" ht="15" hidden="false" customHeight="true" outlineLevel="0" collapsed="false">
      <c r="A16" s="31" t="s">
        <v>179</v>
      </c>
      <c r="B16" s="32" t="n">
        <v>665943764</v>
      </c>
      <c r="C16" s="32" t="n">
        <v>716047157</v>
      </c>
      <c r="D16" s="32" t="n">
        <f aca="false">SUM(D6:D15)</f>
        <v>776806595.86</v>
      </c>
      <c r="E16" s="32" t="n">
        <f aca="false">SUM(E6:E15)</f>
        <v>813926386.354</v>
      </c>
      <c r="F16" s="32" t="n">
        <f aca="false">SUM(F6:F15)</f>
        <v>853127776.26499</v>
      </c>
      <c r="G16" s="32" t="n">
        <f aca="false">SUM(G6:G15)</f>
        <v>894525300.778781</v>
      </c>
      <c r="H16" s="32" t="n">
        <f aca="false">SUM(H6:H15)</f>
        <v>938239931.059007</v>
      </c>
    </row>
    <row r="18" customFormat="false" ht="15.75" hidden="false" customHeight="true" outlineLevel="0" collapsed="false">
      <c r="A18" s="7" t="s">
        <v>180</v>
      </c>
      <c r="B18" s="8"/>
      <c r="C18" s="8"/>
      <c r="D18" s="8"/>
      <c r="E18" s="8"/>
      <c r="F18" s="8"/>
      <c r="G18" s="8"/>
      <c r="H18" s="8"/>
    </row>
    <row r="19" customFormat="false" ht="15" hidden="false" customHeight="true" outlineLevel="0" collapsed="false">
      <c r="A19" s="27" t="s">
        <v>181</v>
      </c>
      <c r="B19" s="28" t="n">
        <v>502016493</v>
      </c>
      <c r="C19" s="28" t="n">
        <v>531866221</v>
      </c>
      <c r="D19" s="29" t="n">
        <f aca="false">C19*(1+Assumptions!$B$31)</f>
        <v>561118863.155</v>
      </c>
      <c r="E19" s="29" t="n">
        <f aca="false">D19*(1+Assumptions!$B$31)</f>
        <v>591980400.628525</v>
      </c>
      <c r="F19" s="29" t="n">
        <f aca="false">E19*(1+Assumptions!$B$31)</f>
        <v>624539322.663094</v>
      </c>
      <c r="G19" s="29" t="n">
        <f aca="false">F19*(1+Assumptions!$B$31)</f>
        <v>658888985.409564</v>
      </c>
      <c r="H19" s="29" t="n">
        <f aca="false">G19*(1+Assumptions!$B$31)</f>
        <v>695127879.60709</v>
      </c>
    </row>
    <row r="20" customFormat="false" ht="15" hidden="false" customHeight="true" outlineLevel="0" collapsed="false">
      <c r="A20" s="27" t="s">
        <v>182</v>
      </c>
      <c r="B20" s="28" t="n">
        <v>13407659</v>
      </c>
      <c r="C20" s="28" t="n">
        <v>10337119</v>
      </c>
      <c r="D20" s="29" t="n">
        <f aca="false">C20*0.9</f>
        <v>9303407.1</v>
      </c>
      <c r="E20" s="29" t="n">
        <f aca="false">D20*0.9</f>
        <v>8373066.39</v>
      </c>
      <c r="F20" s="29" t="n">
        <f aca="false">E20*0.9</f>
        <v>7535759.751</v>
      </c>
      <c r="G20" s="29" t="n">
        <f aca="false">F20*0.9</f>
        <v>6782183.7759</v>
      </c>
      <c r="H20" s="29" t="n">
        <f aca="false">G20*0.9</f>
        <v>6103965.39831</v>
      </c>
    </row>
    <row r="21" customFormat="false" ht="15" hidden="false" customHeight="true" outlineLevel="0" collapsed="false">
      <c r="A21" s="27" t="s">
        <v>183</v>
      </c>
      <c r="B21" s="28" t="n">
        <v>10172225</v>
      </c>
      <c r="C21" s="28" t="n">
        <v>7565293</v>
      </c>
      <c r="D21" s="29" t="n">
        <f aca="false">C21*0.85</f>
        <v>6430499.05</v>
      </c>
      <c r="E21" s="29" t="n">
        <f aca="false">D21*0.85</f>
        <v>5465924.1925</v>
      </c>
      <c r="F21" s="29" t="n">
        <f aca="false">E21*0.85</f>
        <v>4646035.563625</v>
      </c>
      <c r="G21" s="29" t="n">
        <f aca="false">F21*0.85</f>
        <v>3949130.22908125</v>
      </c>
      <c r="H21" s="29" t="n">
        <f aca="false">G21*0.85</f>
        <v>3356760.69471906</v>
      </c>
    </row>
    <row r="22" customFormat="false" ht="15" hidden="false" customHeight="true" outlineLevel="0" collapsed="false">
      <c r="A22" s="27" t="s">
        <v>184</v>
      </c>
      <c r="B22" s="28" t="n">
        <v>30582085</v>
      </c>
      <c r="C22" s="28" t="n">
        <v>34861067</v>
      </c>
      <c r="D22" s="29" t="n">
        <f aca="false">C22*1.08</f>
        <v>37649952.36</v>
      </c>
      <c r="E22" s="29" t="n">
        <f aca="false">D22*1.08</f>
        <v>40661948.5488</v>
      </c>
      <c r="F22" s="29" t="n">
        <f aca="false">E22*1.08</f>
        <v>43914904.432704</v>
      </c>
      <c r="G22" s="29" t="n">
        <f aca="false">F22*1.08</f>
        <v>47428096.7873203</v>
      </c>
      <c r="H22" s="29" t="n">
        <f aca="false">G22*1.08</f>
        <v>51222344.530306</v>
      </c>
    </row>
    <row r="23" customFormat="false" ht="15" hidden="false" customHeight="true" outlineLevel="0" collapsed="false">
      <c r="A23" s="27" t="s">
        <v>185</v>
      </c>
      <c r="B23" s="28" t="n">
        <v>4178301</v>
      </c>
      <c r="C23" s="28" t="n">
        <v>7174223</v>
      </c>
      <c r="D23" s="29" t="n">
        <f aca="false">C23*1.02</f>
        <v>7317707.46</v>
      </c>
      <c r="E23" s="29" t="n">
        <f aca="false">D23*1.02</f>
        <v>7464061.6092</v>
      </c>
      <c r="F23" s="29" t="n">
        <f aca="false">E23*1.02</f>
        <v>7613342.841384</v>
      </c>
      <c r="G23" s="29" t="n">
        <f aca="false">F23*1.02</f>
        <v>7765609.69821168</v>
      </c>
      <c r="H23" s="29" t="n">
        <f aca="false">G23*1.02</f>
        <v>7920921.89217591</v>
      </c>
    </row>
    <row r="24" customFormat="false" ht="15" hidden="false" customHeight="true" outlineLevel="0" collapsed="false">
      <c r="A24" s="31" t="s">
        <v>186</v>
      </c>
      <c r="B24" s="32" t="n">
        <v>556229015</v>
      </c>
      <c r="C24" s="32" t="n">
        <v>588621591</v>
      </c>
      <c r="D24" s="32" t="n">
        <f aca="false">SUM(D19:D23)</f>
        <v>621820429.125</v>
      </c>
      <c r="E24" s="32" t="n">
        <f aca="false">SUM(E19:E23)</f>
        <v>653945401.369025</v>
      </c>
      <c r="F24" s="32" t="n">
        <f aca="false">SUM(F19:F23)</f>
        <v>688249365.251807</v>
      </c>
      <c r="G24" s="32" t="n">
        <f aca="false">SUM(G19:G23)</f>
        <v>724814005.900077</v>
      </c>
      <c r="H24" s="32" t="n">
        <f aca="false">SUM(H19:H23)</f>
        <v>763731872.122601</v>
      </c>
    </row>
    <row r="26" customFormat="false" ht="15.75" hidden="false" customHeight="true" outlineLevel="0" collapsed="false">
      <c r="A26" s="7" t="s">
        <v>187</v>
      </c>
      <c r="B26" s="8"/>
      <c r="C26" s="8"/>
      <c r="D26" s="8"/>
      <c r="E26" s="8"/>
      <c r="F26" s="8"/>
      <c r="G26" s="8"/>
      <c r="H26" s="8"/>
    </row>
    <row r="27" customFormat="false" ht="15" hidden="false" customHeight="true" outlineLevel="0" collapsed="false">
      <c r="A27" s="27" t="s">
        <v>188</v>
      </c>
      <c r="B27" s="28" t="n">
        <v>8237598</v>
      </c>
      <c r="C27" s="28" t="n">
        <v>8237598</v>
      </c>
      <c r="D27" s="29" t="n">
        <f aca="false">C27</f>
        <v>8237598</v>
      </c>
      <c r="E27" s="29" t="n">
        <f aca="false">D27</f>
        <v>8237598</v>
      </c>
      <c r="F27" s="29" t="n">
        <f aca="false">E27</f>
        <v>8237598</v>
      </c>
      <c r="G27" s="29" t="n">
        <f aca="false">F27</f>
        <v>8237598</v>
      </c>
      <c r="H27" s="29" t="n">
        <f aca="false">G27</f>
        <v>8237598</v>
      </c>
    </row>
    <row r="28" customFormat="false" ht="15" hidden="false" customHeight="true" outlineLevel="0" collapsed="false">
      <c r="A28" s="27" t="s">
        <v>189</v>
      </c>
      <c r="B28" s="28" t="n">
        <v>21424322</v>
      </c>
      <c r="C28" s="28" t="n">
        <v>21424322</v>
      </c>
      <c r="D28" s="29" t="n">
        <f aca="false">C28</f>
        <v>21424322</v>
      </c>
      <c r="E28" s="29" t="n">
        <f aca="false">D28</f>
        <v>21424322</v>
      </c>
      <c r="F28" s="29" t="n">
        <f aca="false">E28</f>
        <v>21424322</v>
      </c>
      <c r="G28" s="29" t="n">
        <f aca="false">F28</f>
        <v>21424322</v>
      </c>
      <c r="H28" s="29" t="n">
        <f aca="false">G28</f>
        <v>21424322</v>
      </c>
    </row>
    <row r="29" customFormat="false" ht="15" hidden="false" customHeight="true" outlineLevel="0" collapsed="false">
      <c r="A29" s="27" t="s">
        <v>190</v>
      </c>
      <c r="B29" s="28" t="n">
        <v>80020429</v>
      </c>
      <c r="C29" s="28" t="n">
        <v>90214071</v>
      </c>
      <c r="D29" s="29" t="n">
        <f aca="false">C29+'Income Statement'!D33-'Income Statement'!D37*1647519</f>
        <v>101664807.028399</v>
      </c>
      <c r="E29" s="29" t="n">
        <f aca="false">D29+'Income Statement'!E33-'Income Statement'!E37*1647519</f>
        <v>114094770.841141</v>
      </c>
      <c r="F29" s="29" t="n">
        <f aca="false">E29+'Income Statement'!F33-'Income Statement'!F37*1647519</f>
        <v>127591811.101958</v>
      </c>
      <c r="G29" s="29" t="n">
        <f aca="false">F29+'Income Statement'!G33-'Income Statement'!G37*1647519</f>
        <v>142706286.40978</v>
      </c>
      <c r="H29" s="29" t="n">
        <f aca="false">G29+'Income Statement'!H33-'Income Statement'!H37*1647519</f>
        <v>159618775.509229</v>
      </c>
    </row>
    <row r="30" customFormat="false" ht="15" hidden="false" customHeight="true" outlineLevel="0" collapsed="false">
      <c r="A30" s="27" t="s">
        <v>191</v>
      </c>
      <c r="B30" s="28" t="n">
        <v>-15372</v>
      </c>
      <c r="C30" s="28" t="n">
        <v>-29015</v>
      </c>
      <c r="D30" s="29" t="n">
        <f aca="false">C30*1.05</f>
        <v>-30465.75</v>
      </c>
      <c r="E30" s="29" t="n">
        <f aca="false">D30*1.05</f>
        <v>-31989.0375</v>
      </c>
      <c r="F30" s="29" t="n">
        <f aca="false">E30*1.05</f>
        <v>-33588.489375</v>
      </c>
      <c r="G30" s="29" t="n">
        <f aca="false">F30*1.05</f>
        <v>-35267.91384375</v>
      </c>
      <c r="H30" s="29" t="n">
        <f aca="false">G30*1.05</f>
        <v>-37031.3095359375</v>
      </c>
    </row>
    <row r="31" customFormat="false" ht="15" hidden="false" customHeight="true" outlineLevel="0" collapsed="false">
      <c r="A31" s="31" t="s">
        <v>192</v>
      </c>
      <c r="B31" s="32" t="n">
        <v>109714749</v>
      </c>
      <c r="C31" s="32" t="n">
        <v>127425566</v>
      </c>
      <c r="D31" s="32" t="n">
        <f aca="false">SUM(D27:D30)</f>
        <v>131296261.278399</v>
      </c>
      <c r="E31" s="32" t="n">
        <f aca="false">SUM(E27:E30)</f>
        <v>143724701.803641</v>
      </c>
      <c r="F31" s="32" t="n">
        <f aca="false">SUM(F27:F30)</f>
        <v>157220142.612583</v>
      </c>
      <c r="G31" s="32" t="n">
        <f aca="false">SUM(G27:G30)</f>
        <v>172332938.495936</v>
      </c>
      <c r="H31" s="32" t="n">
        <f aca="false">SUM(H27:H30)</f>
        <v>189243664.199693</v>
      </c>
    </row>
    <row r="32" customFormat="false" ht="15" hidden="false" customHeight="true" outlineLevel="0" collapsed="false">
      <c r="A32" s="31" t="s">
        <v>193</v>
      </c>
      <c r="B32" s="32" t="n">
        <v>665943764</v>
      </c>
      <c r="C32" s="32" t="n">
        <v>716047157</v>
      </c>
      <c r="D32" s="32" t="n">
        <f aca="false">D24+D30</f>
        <v>621789963.375</v>
      </c>
      <c r="E32" s="32" t="n">
        <f aca="false">E24+E30</f>
        <v>653913412.331525</v>
      </c>
      <c r="F32" s="32" t="n">
        <f aca="false">F24+F30</f>
        <v>688215776.762432</v>
      </c>
      <c r="G32" s="32" t="n">
        <f aca="false">G24+G30</f>
        <v>724778737.986233</v>
      </c>
      <c r="H32" s="32" t="n">
        <f aca="false">H24+H30</f>
        <v>763694840.813065</v>
      </c>
    </row>
    <row r="34" customFormat="false" ht="15.75" hidden="false" customHeight="true" outlineLevel="0" collapsed="false">
      <c r="A34" s="7" t="s">
        <v>194</v>
      </c>
      <c r="B34" s="8"/>
      <c r="C34" s="8"/>
      <c r="D34" s="8"/>
      <c r="E34" s="8"/>
      <c r="F34" s="8"/>
      <c r="G34" s="8"/>
      <c r="H34" s="8"/>
    </row>
    <row r="35" customFormat="false" ht="15" hidden="false" customHeight="true" outlineLevel="0" collapsed="false">
      <c r="A35" s="27" t="s">
        <v>195</v>
      </c>
      <c r="B35" s="30" t="n">
        <f aca="false">B11/B19</f>
        <v>0.585503373093362</v>
      </c>
      <c r="C35" s="30" t="n">
        <f aca="false">C11/C19</f>
        <v>0.577058596469882</v>
      </c>
      <c r="D35" s="30" t="n">
        <f aca="false">D11/D19</f>
        <v>0.579793471334668</v>
      </c>
      <c r="E35" s="30" t="n">
        <f aca="false">E11/E19</f>
        <v>0.582541307691705</v>
      </c>
      <c r="F35" s="30" t="n">
        <f aca="false">F11/F19</f>
        <v>0.585302166969864</v>
      </c>
      <c r="G35" s="30" t="n">
        <f aca="false">G11/G19</f>
        <v>0.588076110889153</v>
      </c>
      <c r="H35" s="30" t="n">
        <f aca="false">H11/H19</f>
        <v>0.590863201462087</v>
      </c>
    </row>
    <row r="36" customFormat="false" ht="15" hidden="false" customHeight="true" outlineLevel="0" collapsed="false">
      <c r="A36" s="27" t="s">
        <v>196</v>
      </c>
      <c r="B36" s="30" t="n">
        <f aca="false">B30/B15</f>
        <v>-0.00114880765991347</v>
      </c>
      <c r="C36" s="30" t="n">
        <f aca="false">C30/C15</f>
        <v>-0.00216994445570404</v>
      </c>
      <c r="D36" s="30" t="n">
        <f aca="false">D30/D15</f>
        <v>-0.00227844167848924</v>
      </c>
      <c r="E36" s="30" t="n">
        <f aca="false">E30/E15</f>
        <v>-0.00239236376241371</v>
      </c>
      <c r="F36" s="30" t="n">
        <f aca="false">F30/F15</f>
        <v>-0.00251198195053439</v>
      </c>
      <c r="G36" s="30" t="n">
        <f aca="false">G30/G15</f>
        <v>-0.00263758104806111</v>
      </c>
      <c r="H36" s="30" t="n">
        <f aca="false">H30/H15</f>
        <v>-0.00276946010046417</v>
      </c>
    </row>
    <row r="37" customFormat="false" ht="15" hidden="false" customHeight="true" outlineLevel="0" collapsed="false">
      <c r="A37" s="27" t="s">
        <v>197</v>
      </c>
      <c r="B37" s="30" t="n">
        <f aca="false">B11/B15</f>
        <v>21.9666754603414</v>
      </c>
      <c r="C37" s="30" t="n">
        <f aca="false">C11/C15</f>
        <v>22.9534709015048</v>
      </c>
      <c r="D37" s="30" t="n">
        <f aca="false">D11/D15</f>
        <v>24.3306791555951</v>
      </c>
      <c r="E37" s="30" t="n">
        <f aca="false">E11/E15</f>
        <v>25.7905199049308</v>
      </c>
      <c r="F37" s="30" t="n">
        <f aca="false">F11/F15</f>
        <v>27.3379510992266</v>
      </c>
      <c r="G37" s="30" t="n">
        <f aca="false">G11/G15</f>
        <v>28.9782281651802</v>
      </c>
      <c r="H37" s="30" t="n">
        <f aca="false">H11/H15</f>
        <v>30.716921855091</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6B75"/>
    <pageSetUpPr fitToPage="false"/>
  </sheetPr>
  <dimension ref="A1:H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42"/>
    <col collapsed="false" customWidth="true" hidden="false" outlineLevel="0" max="9" min="2" style="1" width="15"/>
  </cols>
  <sheetData>
    <row r="1" customFormat="false" ht="19.5" hidden="false" customHeight="true" outlineLevel="0" collapsed="false">
      <c r="A1" s="2" t="s">
        <v>198</v>
      </c>
      <c r="B1" s="2"/>
      <c r="C1" s="2"/>
      <c r="D1" s="2"/>
      <c r="E1" s="2"/>
      <c r="F1" s="2"/>
      <c r="G1" s="2"/>
      <c r="H1" s="2"/>
    </row>
    <row r="2" customFormat="false" ht="15" hidden="false" customHeight="true" outlineLevel="0" collapsed="false">
      <c r="A2" s="3" t="s">
        <v>199</v>
      </c>
    </row>
    <row r="4" customFormat="false" ht="27.75" hidden="false" customHeight="true" outlineLevel="0" collapsed="false">
      <c r="A4" s="24" t="s">
        <v>125</v>
      </c>
      <c r="B4" s="25" t="s">
        <v>126</v>
      </c>
      <c r="C4" s="25" t="s">
        <v>127</v>
      </c>
      <c r="D4" s="25" t="s">
        <v>128</v>
      </c>
      <c r="E4" s="25" t="s">
        <v>129</v>
      </c>
      <c r="F4" s="25" t="s">
        <v>130</v>
      </c>
      <c r="G4" s="25" t="s">
        <v>131</v>
      </c>
      <c r="H4" s="25" t="s">
        <v>132</v>
      </c>
    </row>
    <row r="5" customFormat="false" ht="15.75" hidden="false" customHeight="true" outlineLevel="0" collapsed="false">
      <c r="A5" s="7" t="s">
        <v>200</v>
      </c>
      <c r="B5" s="8"/>
      <c r="C5" s="8"/>
      <c r="D5" s="8"/>
      <c r="E5" s="8"/>
      <c r="F5" s="8"/>
      <c r="G5" s="8"/>
      <c r="H5" s="8"/>
    </row>
    <row r="6" customFormat="false" ht="15" hidden="false" customHeight="true" outlineLevel="0" collapsed="false">
      <c r="A6" s="27" t="s">
        <v>155</v>
      </c>
      <c r="B6" s="28" t="n">
        <v>25141048</v>
      </c>
      <c r="C6" s="28" t="n">
        <v>27890230</v>
      </c>
      <c r="D6" s="29" t="n">
        <f aca="false">'Income Statement'!D31</f>
        <v>34120190.78784</v>
      </c>
      <c r="E6" s="29" t="n">
        <f aca="false">'Income Statement'!E31</f>
        <v>37038032.8150816</v>
      </c>
      <c r="F6" s="29" t="n">
        <f aca="false">'Income Statement'!F31</f>
        <v>40217640.8248431</v>
      </c>
      <c r="G6" s="29" t="n">
        <f aca="false">'Income Statement'!G31</f>
        <v>45037173.1460728</v>
      </c>
      <c r="H6" s="29" t="n">
        <f aca="false">'Income Statement'!H31</f>
        <v>50394782.7754743</v>
      </c>
    </row>
    <row r="7" customFormat="false" ht="15" hidden="false" customHeight="true" outlineLevel="0" collapsed="false">
      <c r="A7" s="27" t="s">
        <v>201</v>
      </c>
      <c r="B7" s="28" t="n">
        <v>500000</v>
      </c>
      <c r="C7" s="28" t="n">
        <v>600000</v>
      </c>
      <c r="D7" s="29" t="n">
        <f aca="false">C7*1.05</f>
        <v>630000</v>
      </c>
      <c r="E7" s="29" t="n">
        <f aca="false">D7*1.05</f>
        <v>661500</v>
      </c>
      <c r="F7" s="29" t="n">
        <f aca="false">E7*1.05</f>
        <v>694575</v>
      </c>
      <c r="G7" s="29" t="n">
        <f aca="false">F7*1.05</f>
        <v>729303.75</v>
      </c>
      <c r="H7" s="29" t="n">
        <f aca="false">G7*1.05</f>
        <v>765768.9375</v>
      </c>
    </row>
    <row r="8" customFormat="false" ht="15" hidden="false" customHeight="true" outlineLevel="0" collapsed="false">
      <c r="A8" s="27" t="s">
        <v>202</v>
      </c>
      <c r="B8" s="28" t="n">
        <v>-39513142</v>
      </c>
      <c r="C8" s="28" t="n">
        <v>-47400221</v>
      </c>
      <c r="D8" s="29" t="n">
        <f aca="false">C8*1.05</f>
        <v>-49770232.05</v>
      </c>
      <c r="E8" s="29" t="n">
        <f aca="false">D8*1.05</f>
        <v>-52258743.6525</v>
      </c>
      <c r="F8" s="29" t="n">
        <f aca="false">E8*1.05</f>
        <v>-54871680.835125</v>
      </c>
      <c r="G8" s="29" t="n">
        <f aca="false">F8*1.05</f>
        <v>-57615264.8768813</v>
      </c>
      <c r="H8" s="29" t="n">
        <f aca="false">G8*1.05</f>
        <v>-60496028.1207253</v>
      </c>
    </row>
    <row r="9" customFormat="false" ht="15" hidden="false" customHeight="true" outlineLevel="0" collapsed="false">
      <c r="A9" s="27" t="s">
        <v>203</v>
      </c>
      <c r="B9" s="28" t="n">
        <v>-43474189</v>
      </c>
      <c r="C9" s="28" t="n">
        <v>8369234</v>
      </c>
      <c r="D9" s="29" t="n">
        <f aca="false">C9*0.95</f>
        <v>7950772.3</v>
      </c>
      <c r="E9" s="29" t="n">
        <f aca="false">D9*0.95</f>
        <v>7553233.685</v>
      </c>
      <c r="F9" s="29" t="n">
        <f aca="false">E9*0.95</f>
        <v>7175572.00075</v>
      </c>
      <c r="G9" s="29" t="n">
        <f aca="false">F9*0.95</f>
        <v>6816793.4007125</v>
      </c>
      <c r="H9" s="29" t="n">
        <f aca="false">G9*0.95</f>
        <v>6475953.73067687</v>
      </c>
    </row>
    <row r="10" customFormat="false" ht="15" hidden="false" customHeight="true" outlineLevel="0" collapsed="false">
      <c r="A10" s="27" t="s">
        <v>204</v>
      </c>
      <c r="B10" s="28" t="n">
        <v>-3983752</v>
      </c>
      <c r="C10" s="28" t="n">
        <v>-1355814</v>
      </c>
      <c r="D10" s="29" t="n">
        <f aca="false">-Assumptions!$B$36*'Income Statement'!D31</f>
        <v>-5493350.71684224</v>
      </c>
      <c r="E10" s="29" t="n">
        <f aca="false">-Assumptions!$B$36*'Income Statement'!E31</f>
        <v>-5963123.28322814</v>
      </c>
      <c r="F10" s="29" t="n">
        <f aca="false">-Assumptions!$B$36*'Income Statement'!F31</f>
        <v>-6475040.17279974</v>
      </c>
      <c r="G10" s="29" t="n">
        <f aca="false">-Assumptions!$B$36*'Income Statement'!G31</f>
        <v>-7250984.87651773</v>
      </c>
      <c r="H10" s="29" t="n">
        <f aca="false">-Assumptions!$B$36*'Income Statement'!H31</f>
        <v>-8113560.02685136</v>
      </c>
    </row>
    <row r="11" customFormat="false" ht="15" hidden="false" customHeight="true" outlineLevel="0" collapsed="false">
      <c r="A11" s="27" t="s">
        <v>205</v>
      </c>
      <c r="B11" s="28" t="n">
        <v>88067693</v>
      </c>
      <c r="C11" s="28" t="n">
        <v>74342470</v>
      </c>
      <c r="D11" s="29" t="n">
        <f aca="false">'Income Statement'!D8*1.15</f>
        <v>71677710.324</v>
      </c>
      <c r="E11" s="29" t="n">
        <f aca="false">'Income Statement'!E8*1.15</f>
        <v>78128704.25316</v>
      </c>
      <c r="F11" s="29" t="n">
        <f aca="false">'Income Statement'!F8*1.15</f>
        <v>85160287.6359444</v>
      </c>
      <c r="G11" s="29" t="n">
        <f aca="false">'Income Statement'!G8*1.15</f>
        <v>93676316.3995389</v>
      </c>
      <c r="H11" s="29" t="n">
        <f aca="false">'Income Statement'!H8*1.15</f>
        <v>103043948.039493</v>
      </c>
    </row>
    <row r="12" customFormat="false" ht="15" hidden="false" customHeight="true" outlineLevel="0" collapsed="false">
      <c r="A12" s="27" t="s">
        <v>206</v>
      </c>
      <c r="B12" s="28" t="n">
        <v>-40694997</v>
      </c>
      <c r="C12" s="28" t="n">
        <v>-23614078</v>
      </c>
      <c r="D12" s="29" t="n">
        <f aca="false">C12*0.92</f>
        <v>-21724951.76</v>
      </c>
      <c r="E12" s="29" t="n">
        <f aca="false">D12*0.92</f>
        <v>-19986955.6192</v>
      </c>
      <c r="F12" s="29" t="n">
        <f aca="false">E12*0.92</f>
        <v>-18387999.169664</v>
      </c>
      <c r="G12" s="29" t="n">
        <f aca="false">F12*0.92</f>
        <v>-16916959.2360909</v>
      </c>
      <c r="H12" s="29" t="n">
        <f aca="false">G12*0.92</f>
        <v>-15563602.4972036</v>
      </c>
    </row>
    <row r="13" customFormat="false" ht="15" hidden="false" customHeight="true" outlineLevel="0" collapsed="false">
      <c r="A13" s="31" t="s">
        <v>207</v>
      </c>
      <c r="B13" s="32" t="n">
        <v>-14457339</v>
      </c>
      <c r="C13" s="32" t="n">
        <v>38231821</v>
      </c>
      <c r="D13" s="32" t="n">
        <f aca="false">SUM(D6:D12)</f>
        <v>37390138.8849978</v>
      </c>
      <c r="E13" s="32" t="n">
        <f aca="false">SUM(E6:E12)</f>
        <v>45172648.1983134</v>
      </c>
      <c r="F13" s="32" t="n">
        <f aca="false">SUM(F6:F12)</f>
        <v>53513355.2839488</v>
      </c>
      <c r="G13" s="32" t="n">
        <f aca="false">SUM(G6:G12)</f>
        <v>64476377.7068343</v>
      </c>
      <c r="H13" s="32" t="n">
        <f aca="false">SUM(H6:H12)</f>
        <v>76507262.8383636</v>
      </c>
    </row>
    <row r="15" customFormat="false" ht="15.75" hidden="false" customHeight="true" outlineLevel="0" collapsed="false">
      <c r="A15" s="7" t="s">
        <v>208</v>
      </c>
      <c r="B15" s="8"/>
      <c r="C15" s="8"/>
      <c r="D15" s="8"/>
      <c r="E15" s="8"/>
      <c r="F15" s="8"/>
      <c r="G15" s="8"/>
      <c r="H15" s="8"/>
    </row>
    <row r="16" customFormat="false" ht="15" hidden="false" customHeight="true" outlineLevel="0" collapsed="false">
      <c r="A16" s="27" t="s">
        <v>209</v>
      </c>
      <c r="B16" s="28" t="n">
        <v>-73668934</v>
      </c>
      <c r="C16" s="28" t="n">
        <v>-121450266</v>
      </c>
      <c r="D16" s="29" t="n">
        <f aca="false">C16*1.05</f>
        <v>-127522779.3</v>
      </c>
      <c r="E16" s="29" t="n">
        <f aca="false">D16*1.05</f>
        <v>-133898918.265</v>
      </c>
      <c r="F16" s="29" t="n">
        <f aca="false">E16*1.05</f>
        <v>-140593864.17825</v>
      </c>
      <c r="G16" s="29" t="n">
        <f aca="false">F16*1.05</f>
        <v>-147623557.387163</v>
      </c>
      <c r="H16" s="29" t="n">
        <f aca="false">G16*1.05</f>
        <v>-155004735.256521</v>
      </c>
    </row>
    <row r="17" customFormat="false" ht="15" hidden="false" customHeight="true" outlineLevel="0" collapsed="false">
      <c r="A17" s="27" t="s">
        <v>210</v>
      </c>
      <c r="B17" s="28" t="n">
        <v>90759782</v>
      </c>
      <c r="C17" s="28" t="n">
        <v>114597561</v>
      </c>
      <c r="D17" s="29" t="n">
        <f aca="false">C17*1.04</f>
        <v>119181463.44</v>
      </c>
      <c r="E17" s="29" t="n">
        <f aca="false">D17*1.04</f>
        <v>123948721.9776</v>
      </c>
      <c r="F17" s="29" t="n">
        <f aca="false">E17*1.04</f>
        <v>128906670.856704</v>
      </c>
      <c r="G17" s="29" t="n">
        <f aca="false">F17*1.04</f>
        <v>134062937.690972</v>
      </c>
      <c r="H17" s="29" t="n">
        <f aca="false">G17*1.04</f>
        <v>139425455.198611</v>
      </c>
    </row>
    <row r="18" customFormat="false" ht="15" hidden="false" customHeight="true" outlineLevel="0" collapsed="false">
      <c r="A18" s="27" t="s">
        <v>211</v>
      </c>
      <c r="B18" s="28" t="n">
        <v>-1644590</v>
      </c>
      <c r="C18" s="28" t="n">
        <v>-495846</v>
      </c>
      <c r="D18" s="29" t="n">
        <f aca="false">C18*0.98</f>
        <v>-485929.08</v>
      </c>
      <c r="E18" s="29" t="n">
        <f aca="false">D18*0.98</f>
        <v>-476210.4984</v>
      </c>
      <c r="F18" s="29" t="n">
        <f aca="false">E18*0.98</f>
        <v>-466686.288432</v>
      </c>
      <c r="G18" s="29" t="n">
        <f aca="false">F18*0.98</f>
        <v>-457352.56266336</v>
      </c>
      <c r="H18" s="29" t="n">
        <f aca="false">G18*0.98</f>
        <v>-448205.511410093</v>
      </c>
    </row>
    <row r="19" customFormat="false" ht="15" hidden="false" customHeight="true" outlineLevel="0" collapsed="false">
      <c r="A19" s="27" t="s">
        <v>212</v>
      </c>
      <c r="B19" s="28" t="n">
        <v>-2696205</v>
      </c>
      <c r="C19" s="28" t="n">
        <v>-1562921</v>
      </c>
      <c r="D19" s="29" t="n">
        <f aca="false">C19*1.03</f>
        <v>-1609808.63</v>
      </c>
      <c r="E19" s="29" t="n">
        <f aca="false">D19*1.03</f>
        <v>-1658102.8889</v>
      </c>
      <c r="F19" s="29" t="n">
        <f aca="false">E19*1.03</f>
        <v>-1707845.975567</v>
      </c>
      <c r="G19" s="29" t="n">
        <f aca="false">F19*1.03</f>
        <v>-1759081.35483401</v>
      </c>
      <c r="H19" s="29" t="n">
        <f aca="false">G19*1.03</f>
        <v>-1811853.79547903</v>
      </c>
    </row>
    <row r="20" customFormat="false" ht="15" hidden="false" customHeight="true" outlineLevel="0" collapsed="false">
      <c r="A20" s="27" t="s">
        <v>213</v>
      </c>
      <c r="B20" s="28" t="n">
        <v>32830</v>
      </c>
      <c r="C20" s="28" t="n">
        <v>33896</v>
      </c>
      <c r="D20" s="29" t="n">
        <f aca="false">C20*1</f>
        <v>33896</v>
      </c>
      <c r="E20" s="29" t="n">
        <f aca="false">D20*1</f>
        <v>33896</v>
      </c>
      <c r="F20" s="29" t="n">
        <f aca="false">E20*1</f>
        <v>33896</v>
      </c>
      <c r="G20" s="29" t="n">
        <f aca="false">F20*1</f>
        <v>33896</v>
      </c>
      <c r="H20" s="29" t="n">
        <f aca="false">G20*1</f>
        <v>33896</v>
      </c>
    </row>
    <row r="21" customFormat="false" ht="15" hidden="false" customHeight="true" outlineLevel="0" collapsed="false">
      <c r="A21" s="31" t="s">
        <v>214</v>
      </c>
      <c r="B21" s="32" t="n">
        <v>15164656</v>
      </c>
      <c r="C21" s="32" t="n">
        <v>-9882207</v>
      </c>
      <c r="D21" s="32" t="n">
        <f aca="false">SUM(D16:D20)</f>
        <v>-10403157.57</v>
      </c>
      <c r="E21" s="32" t="n">
        <f aca="false">SUM(E16:E20)</f>
        <v>-12050613.6747</v>
      </c>
      <c r="F21" s="32" t="n">
        <f aca="false">SUM(F16:F20)</f>
        <v>-13827829.585545</v>
      </c>
      <c r="G21" s="32" t="n">
        <f aca="false">SUM(G16:G20)</f>
        <v>-15743157.6136877</v>
      </c>
      <c r="H21" s="32" t="n">
        <f aca="false">SUM(H16:H20)</f>
        <v>-17805443.3647987</v>
      </c>
    </row>
    <row r="23" customFormat="false" ht="15.75" hidden="false" customHeight="true" outlineLevel="0" collapsed="false">
      <c r="A23" s="7" t="s">
        <v>215</v>
      </c>
      <c r="B23" s="8"/>
      <c r="C23" s="8"/>
      <c r="D23" s="8"/>
      <c r="E23" s="8"/>
      <c r="F23" s="8"/>
      <c r="G23" s="8"/>
      <c r="H23" s="8"/>
    </row>
    <row r="24" customFormat="false" ht="15" hidden="false" customHeight="true" outlineLevel="0" collapsed="false">
      <c r="A24" s="27" t="s">
        <v>216</v>
      </c>
      <c r="B24" s="28" t="n">
        <v>-8649476</v>
      </c>
      <c r="C24" s="28" t="n">
        <v>-9473237</v>
      </c>
      <c r="D24" s="29" t="n">
        <f aca="false">-'Income Statement'!D37*1647519</f>
        <v>-17176104.0425987</v>
      </c>
      <c r="E24" s="29" t="n">
        <f aca="false">-'Income Statement'!E37*1647519</f>
        <v>-18644945.7191121</v>
      </c>
      <c r="F24" s="29" t="n">
        <f aca="false">-'Income Statement'!F37*1647519</f>
        <v>-20245560.391226</v>
      </c>
      <c r="G24" s="29" t="n">
        <f aca="false">-'Income Statement'!G37*1647519</f>
        <v>-22671712.9617331</v>
      </c>
      <c r="H24" s="29" t="n">
        <f aca="false">-'Income Statement'!H37*1647519</f>
        <v>-25368733.6491738</v>
      </c>
    </row>
    <row r="25" customFormat="false" ht="15" hidden="false" customHeight="true" outlineLevel="0" collapsed="false">
      <c r="A25" s="27" t="s">
        <v>217</v>
      </c>
      <c r="B25" s="28" t="n">
        <v>-1854207</v>
      </c>
      <c r="C25" s="28" t="n">
        <v>-2306472</v>
      </c>
      <c r="D25" s="29" t="n">
        <f aca="false">C25*0.95</f>
        <v>-2191148.4</v>
      </c>
      <c r="E25" s="29" t="n">
        <f aca="false">D25*0.95</f>
        <v>-2081590.98</v>
      </c>
      <c r="F25" s="29" t="n">
        <f aca="false">E25*0.95</f>
        <v>-1977511.431</v>
      </c>
      <c r="G25" s="29" t="n">
        <f aca="false">F25*0.95</f>
        <v>-1878635.85945</v>
      </c>
      <c r="H25" s="29" t="n">
        <f aca="false">G25*0.95</f>
        <v>-1784704.0664775</v>
      </c>
    </row>
    <row r="26" customFormat="false" ht="15" hidden="false" customHeight="true" outlineLevel="0" collapsed="false">
      <c r="A26" s="27" t="s">
        <v>218</v>
      </c>
      <c r="B26" s="28" t="n">
        <v>-865022</v>
      </c>
      <c r="C26" s="28" t="n">
        <v>-979929</v>
      </c>
      <c r="D26" s="29" t="n">
        <f aca="false">C26*0.98</f>
        <v>-960330.42</v>
      </c>
      <c r="E26" s="29" t="n">
        <f aca="false">D26*0.98</f>
        <v>-941123.8116</v>
      </c>
      <c r="F26" s="29" t="n">
        <f aca="false">E26*0.98</f>
        <v>-922301.335368</v>
      </c>
      <c r="G26" s="29" t="n">
        <f aca="false">F26*0.98</f>
        <v>-903855.30866064</v>
      </c>
      <c r="H26" s="29" t="n">
        <f aca="false">G26*0.98</f>
        <v>-885778.202487427</v>
      </c>
    </row>
    <row r="27" customFormat="false" ht="15" hidden="false" customHeight="true" outlineLevel="0" collapsed="false">
      <c r="A27" s="27" t="s">
        <v>219</v>
      </c>
      <c r="B27" s="28" t="n">
        <v>6843499</v>
      </c>
      <c r="C27" s="28" t="n">
        <v>0</v>
      </c>
      <c r="D27" s="29" t="n">
        <f aca="false">0</f>
        <v>0</v>
      </c>
      <c r="E27" s="29" t="n">
        <f aca="false">0</f>
        <v>0</v>
      </c>
      <c r="F27" s="29" t="n">
        <f aca="false">0</f>
        <v>0</v>
      </c>
      <c r="G27" s="29" t="n">
        <f aca="false">0</f>
        <v>0</v>
      </c>
      <c r="H27" s="29" t="n">
        <f aca="false">0</f>
        <v>0</v>
      </c>
    </row>
    <row r="28" customFormat="false" ht="15" hidden="false" customHeight="true" outlineLevel="0" collapsed="false">
      <c r="A28" s="31" t="s">
        <v>220</v>
      </c>
      <c r="B28" s="32" t="n">
        <v>-4525206</v>
      </c>
      <c r="C28" s="32" t="n">
        <v>-12759638</v>
      </c>
      <c r="D28" s="32" t="n">
        <f aca="false">SUM(D24:D27)</f>
        <v>-20327582.8625987</v>
      </c>
      <c r="E28" s="32" t="n">
        <f aca="false">SUM(E24:E27)</f>
        <v>-21667660.5107121</v>
      </c>
      <c r="F28" s="32" t="n">
        <f aca="false">SUM(F24:F27)</f>
        <v>-23145373.157594</v>
      </c>
      <c r="G28" s="32" t="n">
        <f aca="false">SUM(G24:G27)</f>
        <v>-25454204.1298437</v>
      </c>
      <c r="H28" s="32" t="n">
        <f aca="false">SUM(H24:H27)</f>
        <v>-28039215.9181387</v>
      </c>
    </row>
    <row r="30" customFormat="false" ht="15" hidden="false" customHeight="true" outlineLevel="0" collapsed="false">
      <c r="A30" s="31" t="s">
        <v>221</v>
      </c>
      <c r="B30" s="32" t="n">
        <v>-3817889</v>
      </c>
      <c r="C30" s="32" t="n">
        <v>15589976</v>
      </c>
      <c r="D30" s="32" t="n">
        <f aca="false">D13+D21+D28</f>
        <v>6659398.45239909</v>
      </c>
      <c r="E30" s="32" t="n">
        <f aca="false">E13+E21+E28</f>
        <v>11454374.0129014</v>
      </c>
      <c r="F30" s="32" t="n">
        <f aca="false">F13+F21+F28</f>
        <v>16540152.5408098</v>
      </c>
      <c r="G30" s="32" t="n">
        <f aca="false">G13+G21+G28</f>
        <v>23279015.9633029</v>
      </c>
      <c r="H30" s="32" t="n">
        <f aca="false">H13+H21+H28</f>
        <v>30662603.5554262</v>
      </c>
    </row>
    <row r="31" customFormat="false" ht="15" hidden="false" customHeight="true" outlineLevel="0" collapsed="false">
      <c r="A31" s="27" t="s">
        <v>222</v>
      </c>
      <c r="B31" s="28" t="n">
        <v>90504283</v>
      </c>
      <c r="C31" s="28" t="n">
        <v>87178442</v>
      </c>
      <c r="D31" s="29" t="n">
        <f aca="false">C30+C31</f>
        <v>102768418</v>
      </c>
      <c r="E31" s="29" t="n">
        <f aca="false">D30+D31</f>
        <v>109427816.452399</v>
      </c>
      <c r="F31" s="29" t="n">
        <f aca="false">E30+E31</f>
        <v>120882190.4653</v>
      </c>
      <c r="G31" s="29" t="n">
        <f aca="false">F30+F31</f>
        <v>137422343.00611</v>
      </c>
      <c r="H31" s="29" t="n">
        <f aca="false">G30+G31</f>
        <v>160701358.969413</v>
      </c>
    </row>
    <row r="32" customFormat="false" ht="15" hidden="false" customHeight="true" outlineLevel="0" collapsed="false">
      <c r="A32" s="27" t="s">
        <v>223</v>
      </c>
      <c r="B32" s="28" t="n">
        <v>492048</v>
      </c>
      <c r="C32" s="28" t="n">
        <v>-235021</v>
      </c>
      <c r="D32" s="29" t="n">
        <f aca="false">0</f>
        <v>0</v>
      </c>
      <c r="E32" s="29" t="n">
        <f aca="false">0</f>
        <v>0</v>
      </c>
      <c r="F32" s="29" t="n">
        <f aca="false">0</f>
        <v>0</v>
      </c>
      <c r="G32" s="29" t="n">
        <f aca="false">0</f>
        <v>0</v>
      </c>
      <c r="H32" s="29" t="n">
        <f aca="false">0</f>
        <v>0</v>
      </c>
    </row>
    <row r="33" customFormat="false" ht="15" hidden="false" customHeight="true" outlineLevel="0" collapsed="false">
      <c r="A33" s="31" t="s">
        <v>224</v>
      </c>
      <c r="B33" s="32" t="n">
        <v>87178442</v>
      </c>
      <c r="C33" s="32" t="n">
        <v>102533397</v>
      </c>
      <c r="D33" s="32" t="n">
        <f aca="false">D30+D31+D32</f>
        <v>109427816.452399</v>
      </c>
      <c r="E33" s="32" t="n">
        <f aca="false">E30+E31+E32</f>
        <v>120882190.4653</v>
      </c>
      <c r="F33" s="32" t="n">
        <f aca="false">F30+F31+F32</f>
        <v>137422343.00611</v>
      </c>
      <c r="G33" s="32" t="n">
        <f aca="false">G30+G31+G32</f>
        <v>160701358.969413</v>
      </c>
      <c r="H33" s="32" t="n">
        <f aca="false">H30+H31+H32</f>
        <v>191363962.524839</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B0000"/>
    <pageSetUpPr fitToPage="false"/>
  </sheetPr>
  <dimension ref="A1:G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8"/>
    <col collapsed="false" customWidth="true" hidden="false" outlineLevel="0" max="7" min="2" style="1" width="15"/>
  </cols>
  <sheetData>
    <row r="1" customFormat="false" ht="19.5" hidden="false" customHeight="true" outlineLevel="0" collapsed="false">
      <c r="A1" s="2" t="s">
        <v>225</v>
      </c>
      <c r="B1" s="2"/>
      <c r="C1" s="2"/>
      <c r="D1" s="2"/>
      <c r="E1" s="2"/>
      <c r="F1" s="2"/>
      <c r="G1" s="2"/>
    </row>
    <row r="2" customFormat="false" ht="15" hidden="false" customHeight="true" outlineLevel="0" collapsed="false">
      <c r="A2" s="3" t="s">
        <v>226</v>
      </c>
    </row>
    <row r="4" customFormat="false" ht="27.75" hidden="false" customHeight="true" outlineLevel="0" collapsed="false">
      <c r="A4" s="24" t="s">
        <v>227</v>
      </c>
      <c r="B4" s="25" t="s">
        <v>228</v>
      </c>
      <c r="C4" s="25" t="s">
        <v>229</v>
      </c>
      <c r="D4" s="25" t="s">
        <v>230</v>
      </c>
      <c r="E4" s="25" t="s">
        <v>231</v>
      </c>
      <c r="F4" s="25" t="s">
        <v>232</v>
      </c>
      <c r="G4" s="8"/>
    </row>
    <row r="5" customFormat="false" ht="15" hidden="false" customHeight="true" outlineLevel="0" collapsed="false">
      <c r="A5" s="27" t="s">
        <v>233</v>
      </c>
      <c r="B5" s="29" t="n">
        <f aca="false">'Income Statement'!D33</f>
        <v>28626840.0709978</v>
      </c>
      <c r="C5" s="29" t="n">
        <f aca="false">'Income Statement'!E33</f>
        <v>31074909.5318535</v>
      </c>
      <c r="D5" s="29" t="n">
        <f aca="false">'Income Statement'!F33</f>
        <v>33742600.6520434</v>
      </c>
      <c r="E5" s="29" t="n">
        <f aca="false">'Income Statement'!G33</f>
        <v>37786188.2695551</v>
      </c>
      <c r="F5" s="29" t="n">
        <f aca="false">'Income Statement'!H33</f>
        <v>42281222.7486229</v>
      </c>
    </row>
    <row r="6" customFormat="false" ht="15" hidden="false" customHeight="true" outlineLevel="0" collapsed="false">
      <c r="A6" s="27" t="s">
        <v>234</v>
      </c>
      <c r="B6" s="29" t="n">
        <f aca="false">'Income Statement'!D8*0.012</f>
        <v>747941.32512</v>
      </c>
      <c r="C6" s="17" t="n">
        <f aca="false">B6*1.05</f>
        <v>785338.391376</v>
      </c>
      <c r="D6" s="17" t="n">
        <f aca="false">C6*1.05</f>
        <v>824605.3109448</v>
      </c>
      <c r="E6" s="17" t="n">
        <f aca="false">D6*1.05</f>
        <v>865835.57649204</v>
      </c>
      <c r="F6" s="17" t="n">
        <f aca="false">E6*1.05</f>
        <v>909127.355316642</v>
      </c>
    </row>
    <row r="7" customFormat="false" ht="15" hidden="false" customHeight="true" outlineLevel="0" collapsed="false">
      <c r="A7" s="27" t="s">
        <v>235</v>
      </c>
      <c r="B7" s="17" t="n">
        <f aca="false">-'Cash Flow Statement'!B19</f>
        <v>2696205</v>
      </c>
      <c r="C7" s="17" t="n">
        <f aca="false">B7*1.03</f>
        <v>2777091.15</v>
      </c>
      <c r="D7" s="17" t="n">
        <f aca="false">C7*1.03</f>
        <v>2860403.8845</v>
      </c>
      <c r="E7" s="17" t="n">
        <f aca="false">D7*1.03</f>
        <v>2946216.001035</v>
      </c>
      <c r="F7" s="17" t="n">
        <f aca="false">E7*1.03</f>
        <v>3034602.48106605</v>
      </c>
    </row>
    <row r="8" customFormat="false" ht="15" hidden="false" customHeight="true" outlineLevel="0" collapsed="false">
      <c r="A8" s="27" t="s">
        <v>236</v>
      </c>
      <c r="B8" s="29" t="n">
        <f aca="false">-Assumptions!$B$30*'Income Statement'!D20*0.02</f>
        <v>-99385.129152</v>
      </c>
      <c r="C8" s="29" t="n">
        <f aca="false">-Assumptions!$B$30*'Income Statement'!E20*0.02</f>
        <v>-107592.06087648</v>
      </c>
      <c r="D8" s="29" t="n">
        <f aca="false">-Assumptions!$B$30*'Income Statement'!F20*0.02</f>
        <v>-116493.352662211</v>
      </c>
      <c r="E8" s="29" t="n">
        <f aca="false">-Assumptions!$B$30*'Income Statement'!G20*0.02</f>
        <v>-127313.774613691</v>
      </c>
      <c r="F8" s="29" t="n">
        <f aca="false">-Assumptions!$B$30*'Income Statement'!H20*0.02</f>
        <v>-139158.214828287</v>
      </c>
    </row>
    <row r="9" customFormat="false" ht="15" hidden="false" customHeight="true" outlineLevel="0" collapsed="false">
      <c r="A9" s="31" t="s">
        <v>237</v>
      </c>
      <c r="B9" s="32" t="n">
        <f aca="false">B5+B6-B7-B8</f>
        <v>26777961.5252698</v>
      </c>
      <c r="C9" s="32" t="n">
        <f aca="false">C5+C6-C7-C8</f>
        <v>29190748.8341059</v>
      </c>
      <c r="D9" s="32" t="n">
        <f aca="false">D5+D6-D7-D8</f>
        <v>31823295.4311504</v>
      </c>
      <c r="E9" s="32" t="n">
        <f aca="false">E5+E6-E7-E8</f>
        <v>35833121.6196258</v>
      </c>
      <c r="F9" s="32" t="n">
        <f aca="false">F5+F6-F7-F8</f>
        <v>40294905.8377018</v>
      </c>
      <c r="G9" s="36"/>
    </row>
    <row r="11" customFormat="false" ht="15" hidden="false" customHeight="true" outlineLevel="0" collapsed="false">
      <c r="A11" s="27" t="s">
        <v>238</v>
      </c>
      <c r="B11" s="37" t="s">
        <v>239</v>
      </c>
      <c r="C11" s="37" t="s">
        <v>240</v>
      </c>
      <c r="D11" s="37" t="s">
        <v>241</v>
      </c>
      <c r="E11" s="37" t="s">
        <v>242</v>
      </c>
      <c r="F11" s="37" t="s">
        <v>243</v>
      </c>
    </row>
    <row r="12" customFormat="false" ht="15" hidden="false" customHeight="true" outlineLevel="0" collapsed="false">
      <c r="A12" s="27" t="s">
        <v>244</v>
      </c>
      <c r="B12" s="38" t="n">
        <f aca="false">1/(1+Assumptions!$B$39)^1</f>
        <v>0.87719298245614</v>
      </c>
      <c r="C12" s="38" t="n">
        <f aca="false">1/(1+Assumptions!$B$39)^2</f>
        <v>0.769467528470298</v>
      </c>
      <c r="D12" s="38" t="n">
        <f aca="false">1/(1+Assumptions!$B$39)^3</f>
        <v>0.674971516202016</v>
      </c>
      <c r="E12" s="38" t="n">
        <f aca="false">1/(1+Assumptions!$B$39)^4</f>
        <v>0.592080277370189</v>
      </c>
      <c r="F12" s="38" t="n">
        <f aca="false">1/(1+Assumptions!$B$39)^5</f>
        <v>0.519368664359815</v>
      </c>
    </row>
    <row r="13" customFormat="false" ht="15" hidden="false" customHeight="true" outlineLevel="0" collapsed="false">
      <c r="A13" s="31" t="s">
        <v>245</v>
      </c>
      <c r="B13" s="32" t="n">
        <f aca="false">B9*B12</f>
        <v>23489439.9344472</v>
      </c>
      <c r="C13" s="32" t="n">
        <f aca="false">C9*C12</f>
        <v>22461333.3595767</v>
      </c>
      <c r="D13" s="32" t="n">
        <f aca="false">D9*D12</f>
        <v>21479817.9677083</v>
      </c>
      <c r="E13" s="32" t="n">
        <f aca="false">E9*E12</f>
        <v>21216084.5875878</v>
      </c>
      <c r="F13" s="32" t="n">
        <f aca="false">F9*F12</f>
        <v>20927911.4254317</v>
      </c>
      <c r="G13" s="36"/>
    </row>
    <row r="15" customFormat="false" ht="15.75" hidden="false" customHeight="true" outlineLevel="0" collapsed="false">
      <c r="A15" s="7" t="s">
        <v>246</v>
      </c>
      <c r="B15" s="8"/>
      <c r="C15" s="8"/>
      <c r="D15" s="8"/>
      <c r="E15" s="8"/>
      <c r="F15" s="8"/>
      <c r="G15" s="8"/>
    </row>
    <row r="16" customFormat="false" ht="15" hidden="false" customHeight="true" outlineLevel="0" collapsed="false">
      <c r="A16" s="27" t="s">
        <v>247</v>
      </c>
      <c r="B16" s="17" t="n">
        <f aca="false">G9*(1+Assumptions!$B$32)</f>
        <v>0</v>
      </c>
    </row>
    <row r="17" customFormat="false" ht="15" hidden="false" customHeight="true" outlineLevel="0" collapsed="false">
      <c r="A17" s="27" t="s">
        <v>248</v>
      </c>
      <c r="B17" s="17" t="n">
        <f aca="false">B16/(Assumptions!$B$39-Assumptions!$B$32)</f>
        <v>0</v>
      </c>
    </row>
    <row r="18" customFormat="false" ht="15" hidden="false" customHeight="true" outlineLevel="0" collapsed="false">
      <c r="A18" s="27" t="s">
        <v>249</v>
      </c>
      <c r="B18" s="17" t="n">
        <f aca="false">B17/((1+Assumptions!$B$39)^5)</f>
        <v>0</v>
      </c>
    </row>
    <row r="20" customFormat="false" ht="15.75" hidden="false" customHeight="true" outlineLevel="0" collapsed="false">
      <c r="A20" s="7" t="s">
        <v>250</v>
      </c>
      <c r="B20" s="8"/>
      <c r="C20" s="8"/>
      <c r="D20" s="8"/>
      <c r="E20" s="8"/>
      <c r="F20" s="8"/>
      <c r="G20" s="8"/>
    </row>
    <row r="21" customFormat="false" ht="15" hidden="false" customHeight="true" outlineLevel="0" collapsed="false">
      <c r="A21" s="27" t="s">
        <v>251</v>
      </c>
      <c r="B21" s="17" t="n">
        <f aca="false">SUM(B13:F13)</f>
        <v>109574587.274752</v>
      </c>
    </row>
    <row r="22" customFormat="false" ht="15" hidden="false" customHeight="true" outlineLevel="0" collapsed="false">
      <c r="A22" s="27" t="s">
        <v>249</v>
      </c>
      <c r="B22" s="17" t="n">
        <f aca="false">B18</f>
        <v>0</v>
      </c>
    </row>
    <row r="23" customFormat="false" ht="15" hidden="false" customHeight="true" outlineLevel="0" collapsed="false">
      <c r="A23" s="31" t="s">
        <v>252</v>
      </c>
      <c r="B23" s="32" t="n">
        <f aca="false">B21+B22</f>
        <v>109574587.274752</v>
      </c>
      <c r="C23" s="39"/>
    </row>
    <row r="24" customFormat="false" ht="15" hidden="false" customHeight="true" outlineLevel="0" collapsed="false">
      <c r="A24" s="27" t="s">
        <v>253</v>
      </c>
      <c r="B24" s="17" t="n">
        <f aca="false">-7565293</f>
        <v>-7565293</v>
      </c>
    </row>
    <row r="25" customFormat="false" ht="15" hidden="false" customHeight="true" outlineLevel="0" collapsed="false">
      <c r="A25" s="27" t="s">
        <v>254</v>
      </c>
      <c r="B25" s="17" t="n">
        <f aca="false">63774068</f>
        <v>63774068</v>
      </c>
    </row>
    <row r="26" customFormat="false" ht="15" hidden="false" customHeight="true" outlineLevel="0" collapsed="false">
      <c r="A26" s="31" t="s">
        <v>255</v>
      </c>
      <c r="B26" s="32" t="n">
        <f aca="false">B23+B24+B25</f>
        <v>165783362.274752</v>
      </c>
      <c r="C26" s="39"/>
    </row>
    <row r="27" customFormat="false" ht="15" hidden="false" customHeight="true" outlineLevel="0" collapsed="false">
      <c r="A27" s="27" t="s">
        <v>161</v>
      </c>
      <c r="B27" s="17" t="n">
        <f aca="false">1647519</f>
        <v>1647519</v>
      </c>
    </row>
    <row r="28" customFormat="false" ht="15" hidden="false" customHeight="true" outlineLevel="0" collapsed="false">
      <c r="A28" s="31" t="s">
        <v>256</v>
      </c>
      <c r="B28" s="40" t="n">
        <f aca="false">B26/B27</f>
        <v>100.626070033032</v>
      </c>
      <c r="C28" s="39"/>
    </row>
    <row r="30" customFormat="false" ht="15" hidden="false" customHeight="true" outlineLevel="0" collapsed="false">
      <c r="A30" s="27" t="s">
        <v>257</v>
      </c>
      <c r="B30" s="34" t="n">
        <f aca="false">Assumptions!$B$40</f>
        <v>39.5</v>
      </c>
    </row>
    <row r="31" customFormat="false" ht="15" hidden="false" customHeight="true" outlineLevel="0" collapsed="false">
      <c r="A31" s="31" t="s">
        <v>258</v>
      </c>
      <c r="B31" s="41" t="n">
        <f aca="false">(B28-B30)/B30</f>
        <v>1.54749544387424</v>
      </c>
      <c r="C31" s="39"/>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B4513"/>
    <pageSetUpPr fitToPage="false"/>
  </sheetPr>
  <dimension ref="A1:F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8"/>
    <col collapsed="false" customWidth="true" hidden="false" outlineLevel="0" max="3" min="2" style="1" width="18"/>
    <col collapsed="false" customWidth="true" hidden="false" outlineLevel="0" max="5" min="4" style="1" width="20"/>
    <col collapsed="false" customWidth="true" hidden="false" outlineLevel="0" max="6" min="6" style="1" width="18"/>
  </cols>
  <sheetData>
    <row r="1" customFormat="false" ht="19.5" hidden="false" customHeight="true" outlineLevel="0" collapsed="false">
      <c r="A1" s="2" t="s">
        <v>259</v>
      </c>
      <c r="B1" s="2"/>
      <c r="C1" s="2"/>
      <c r="D1" s="2"/>
      <c r="E1" s="2"/>
      <c r="F1" s="2"/>
    </row>
    <row r="2" customFormat="false" ht="15" hidden="false" customHeight="true" outlineLevel="0" collapsed="false">
      <c r="A2" s="3" t="s">
        <v>260</v>
      </c>
    </row>
    <row r="4" customFormat="false" ht="15.75" hidden="false" customHeight="true" outlineLevel="0" collapsed="false">
      <c r="A4" s="7" t="s">
        <v>261</v>
      </c>
      <c r="B4" s="8"/>
      <c r="C4" s="8"/>
      <c r="D4" s="8"/>
      <c r="E4" s="8"/>
    </row>
    <row r="5" customFormat="false" ht="15.75" hidden="false" customHeight="true" outlineLevel="0" collapsed="false">
      <c r="A5" s="24" t="s">
        <v>262</v>
      </c>
      <c r="B5" s="42" t="s">
        <v>263</v>
      </c>
      <c r="C5" s="42" t="s">
        <v>128</v>
      </c>
      <c r="D5" s="42" t="s">
        <v>264</v>
      </c>
      <c r="E5" s="42" t="s">
        <v>265</v>
      </c>
    </row>
    <row r="6" customFormat="false" ht="15" hidden="false" customHeight="true" outlineLevel="0" collapsed="false">
      <c r="A6" s="27" t="s">
        <v>266</v>
      </c>
      <c r="B6" s="29" t="n">
        <f aca="false">'Income Statement'!C33</f>
        <v>23393518</v>
      </c>
      <c r="C6" s="29" t="n">
        <f aca="false">'Income Statement'!D33</f>
        <v>28626840.0709978</v>
      </c>
      <c r="D6" s="16" t="s">
        <v>267</v>
      </c>
      <c r="E6" s="16" t="s">
        <v>268</v>
      </c>
    </row>
    <row r="7" customFormat="false" ht="15" hidden="false" customHeight="true" outlineLevel="0" collapsed="false">
      <c r="A7" s="27" t="s">
        <v>147</v>
      </c>
      <c r="B7" s="29" t="n">
        <f aca="false">'Income Statement'!C20</f>
        <v>71831953</v>
      </c>
      <c r="C7" s="29" t="n">
        <f aca="false">'Income Statement'!D20</f>
        <v>82820940.96</v>
      </c>
      <c r="D7" s="16" t="s">
        <v>267</v>
      </c>
      <c r="E7" s="16" t="s">
        <v>268</v>
      </c>
    </row>
    <row r="8" customFormat="false" ht="15" hidden="false" customHeight="true" outlineLevel="0" collapsed="false">
      <c r="A8" s="27" t="s">
        <v>155</v>
      </c>
      <c r="B8" s="29" t="n">
        <f aca="false">'Income Statement'!C31</f>
        <v>27890230</v>
      </c>
      <c r="C8" s="29" t="n">
        <f aca="false">'Income Statement'!D31</f>
        <v>34120190.78784</v>
      </c>
      <c r="D8" s="16" t="s">
        <v>267</v>
      </c>
      <c r="E8" s="16" t="s">
        <v>268</v>
      </c>
    </row>
    <row r="9" customFormat="false" ht="15" hidden="false" customHeight="true" outlineLevel="0" collapsed="false">
      <c r="A9" s="27" t="s">
        <v>269</v>
      </c>
      <c r="B9" s="29" t="n">
        <f aca="false">'Balance Sheet'!C30</f>
        <v>-29015</v>
      </c>
      <c r="C9" s="29" t="n">
        <f aca="false">'Balance Sheet'!D30</f>
        <v>-30465.75</v>
      </c>
      <c r="D9" s="16" t="s">
        <v>270</v>
      </c>
      <c r="E9" s="16" t="s">
        <v>268</v>
      </c>
    </row>
    <row r="10" customFormat="false" ht="15" hidden="false" customHeight="true" outlineLevel="0" collapsed="false">
      <c r="A10" s="27" t="s">
        <v>271</v>
      </c>
      <c r="B10" s="29" t="n">
        <f aca="false">'Balance Sheet'!C15</f>
        <v>13371310</v>
      </c>
      <c r="C10" s="29" t="n">
        <f aca="false">'Balance Sheet'!D15</f>
        <v>13371310</v>
      </c>
      <c r="D10" s="16" t="s">
        <v>270</v>
      </c>
      <c r="E10" s="16" t="s">
        <v>268</v>
      </c>
    </row>
    <row r="11" customFormat="false" ht="15" hidden="false" customHeight="true" outlineLevel="0" collapsed="false">
      <c r="A11" s="27" t="s">
        <v>272</v>
      </c>
      <c r="B11" s="43" t="n">
        <f aca="false">'Income Statement'!C36</f>
        <v>14.2</v>
      </c>
      <c r="C11" s="43" t="n">
        <f aca="false">'Income Statement'!D36</f>
        <v>17.3757268177167</v>
      </c>
      <c r="D11" s="16" t="s">
        <v>267</v>
      </c>
      <c r="E11" s="16" t="s">
        <v>273</v>
      </c>
    </row>
    <row r="12" customFormat="false" ht="15" hidden="false" customHeight="true" outlineLevel="0" collapsed="false">
      <c r="A12" s="27" t="s">
        <v>274</v>
      </c>
      <c r="B12" s="43" t="n">
        <f aca="false">'Income Statement'!C37</f>
        <v>7.1</v>
      </c>
      <c r="C12" s="43" t="n">
        <f aca="false">'Income Statement'!D37</f>
        <v>10.42543609063</v>
      </c>
      <c r="D12" s="16" t="s">
        <v>267</v>
      </c>
      <c r="E12" s="16" t="s">
        <v>273</v>
      </c>
    </row>
    <row r="13" customFormat="false" ht="15" hidden="false" customHeight="true" outlineLevel="0" collapsed="false">
      <c r="A13" s="27" t="s">
        <v>161</v>
      </c>
      <c r="B13" s="29" t="n">
        <f aca="false">1647519</f>
        <v>1647519</v>
      </c>
      <c r="C13" s="29" t="n">
        <f aca="false">1647519</f>
        <v>1647519</v>
      </c>
      <c r="D13" s="16" t="s">
        <v>275</v>
      </c>
      <c r="E13" s="16"/>
    </row>
    <row r="14" customFormat="false" ht="15" hidden="false" customHeight="true" outlineLevel="0" collapsed="false">
      <c r="A14" s="27" t="s">
        <v>276</v>
      </c>
      <c r="B14" s="43" t="n">
        <f aca="false">Assumptions!$B$40</f>
        <v>39.5</v>
      </c>
      <c r="C14" s="43" t="n">
        <f aca="false">Assumptions!$B$40</f>
        <v>39.5</v>
      </c>
      <c r="D14" s="16" t="s">
        <v>277</v>
      </c>
      <c r="E14" s="16" t="s">
        <v>278</v>
      </c>
    </row>
    <row r="15" customFormat="false" ht="15" hidden="false" customHeight="true" outlineLevel="0" collapsed="false">
      <c r="A15" s="27" t="s">
        <v>279</v>
      </c>
      <c r="B15" s="29" t="n">
        <f aca="false">B14*B13</f>
        <v>65077000.5</v>
      </c>
      <c r="C15" s="29" t="n">
        <f aca="false">C14*C13</f>
        <v>65077000.5</v>
      </c>
      <c r="D15" s="16" t="s">
        <v>57</v>
      </c>
      <c r="E15" s="16" t="s">
        <v>268</v>
      </c>
    </row>
    <row r="16" customFormat="false" ht="15" hidden="false" customHeight="true" outlineLevel="0" collapsed="false">
      <c r="A16" s="27" t="s">
        <v>280</v>
      </c>
      <c r="B16" s="29" t="n">
        <f aca="false">7565293-63774068</f>
        <v>-56208775</v>
      </c>
      <c r="C16" s="29" t="n">
        <f aca="false">7565293-63774068</f>
        <v>-56208775</v>
      </c>
      <c r="D16" s="16" t="s">
        <v>270</v>
      </c>
      <c r="E16" s="16" t="s">
        <v>268</v>
      </c>
    </row>
    <row r="17" customFormat="false" ht="15" hidden="false" customHeight="true" outlineLevel="0" collapsed="false">
      <c r="A17" s="27" t="s">
        <v>252</v>
      </c>
      <c r="B17" s="29" t="n">
        <f aca="false">B15+B16</f>
        <v>8868225.5</v>
      </c>
      <c r="C17" s="29" t="n">
        <f aca="false">C15+C16</f>
        <v>8868225.5</v>
      </c>
      <c r="D17" s="16" t="s">
        <v>57</v>
      </c>
      <c r="E17" s="16" t="s">
        <v>268</v>
      </c>
    </row>
    <row r="19" customFormat="false" ht="15.75" hidden="false" customHeight="true" outlineLevel="0" collapsed="false">
      <c r="A19" s="7" t="s">
        <v>281</v>
      </c>
      <c r="B19" s="8"/>
      <c r="C19" s="8"/>
      <c r="D19" s="8"/>
      <c r="E19" s="8"/>
      <c r="F19" s="8"/>
    </row>
    <row r="20" customFormat="false" ht="18" hidden="false" customHeight="true" outlineLevel="0" collapsed="false">
      <c r="A20" s="24" t="s">
        <v>282</v>
      </c>
      <c r="B20" s="42" t="s">
        <v>283</v>
      </c>
      <c r="C20" s="42" t="s">
        <v>284</v>
      </c>
      <c r="D20" s="42" t="s">
        <v>285</v>
      </c>
      <c r="E20" s="42" t="s">
        <v>286</v>
      </c>
      <c r="F20" s="42" t="s">
        <v>287</v>
      </c>
    </row>
    <row r="21" customFormat="false" ht="15" hidden="false" customHeight="true" outlineLevel="0" collapsed="false">
      <c r="A21" s="44" t="s">
        <v>288</v>
      </c>
      <c r="B21" s="45" t="n">
        <f aca="false">Assumptions!$B$41</f>
        <v>8</v>
      </c>
      <c r="C21" s="46" t="n">
        <f aca="false">B6</f>
        <v>23393518</v>
      </c>
      <c r="D21" s="47" t="n">
        <f aca="false">B21*C21</f>
        <v>187148144</v>
      </c>
      <c r="E21" s="48" t="n">
        <f aca="false">D21/B13</f>
        <v>113.593921526853</v>
      </c>
      <c r="F21" s="49" t="n">
        <f aca="false">(E21-B14)/B14</f>
        <v>1.87579548169249</v>
      </c>
    </row>
    <row r="22" customFormat="false" ht="15" hidden="false" customHeight="true" outlineLevel="0" collapsed="false">
      <c r="A22" s="27" t="s">
        <v>289</v>
      </c>
      <c r="B22" s="50" t="n">
        <f aca="false">Assumptions!$B$41</f>
        <v>8</v>
      </c>
      <c r="C22" s="29" t="n">
        <f aca="false">C6</f>
        <v>28626840.0709978</v>
      </c>
      <c r="D22" s="51" t="n">
        <f aca="false">B22*C22</f>
        <v>229014720.567982</v>
      </c>
      <c r="E22" s="52" t="n">
        <f aca="false">D22/B13</f>
        <v>139.005814541733</v>
      </c>
      <c r="F22" s="23" t="n">
        <f aca="false">(E22-B14)/B14</f>
        <v>2.51913454536034</v>
      </c>
    </row>
    <row r="23" customFormat="false" ht="15" hidden="false" customHeight="true" outlineLevel="0" collapsed="false">
      <c r="A23" s="44" t="s">
        <v>290</v>
      </c>
      <c r="B23" s="45" t="n">
        <f aca="false">Assumptions!$B$42</f>
        <v>1.2</v>
      </c>
      <c r="C23" s="46" t="n">
        <f aca="false">B9</f>
        <v>-29015</v>
      </c>
      <c r="D23" s="47" t="n">
        <f aca="false">B23*C23</f>
        <v>-34818</v>
      </c>
      <c r="E23" s="48" t="n">
        <f aca="false">D23/B13</f>
        <v>-0.0211335954243927</v>
      </c>
      <c r="F23" s="49" t="n">
        <f aca="false">(E23-B14)/B14</f>
        <v>-1.00053502773226</v>
      </c>
    </row>
    <row r="24" customFormat="false" ht="15" hidden="false" customHeight="true" outlineLevel="0" collapsed="false">
      <c r="A24" s="27" t="s">
        <v>291</v>
      </c>
      <c r="B24" s="50" t="n">
        <f aca="false">Assumptions!$B$43</f>
        <v>5.5</v>
      </c>
      <c r="C24" s="29" t="n">
        <f aca="false">Assumptions!$B$35*B6/(Assumptions!$B$36)</f>
        <v>15983148.9440994</v>
      </c>
      <c r="D24" s="51" t="n">
        <f aca="false">B24*C24</f>
        <v>87907319.1925466</v>
      </c>
      <c r="E24" s="52" t="n">
        <f aca="false">D24/B13</f>
        <v>53.3573932637782</v>
      </c>
      <c r="F24" s="23" t="n">
        <f aca="false">(E24-B14)/B14</f>
        <v>0.350820082627296</v>
      </c>
    </row>
    <row r="25" customFormat="false" ht="15" hidden="false" customHeight="true" outlineLevel="0" collapsed="false">
      <c r="A25" s="44" t="s">
        <v>292</v>
      </c>
      <c r="B25" s="45" t="n">
        <f aca="false">Assumptions!$B$44</f>
        <v>0.055</v>
      </c>
      <c r="C25" s="46" t="n">
        <f aca="false">B12</f>
        <v>7.1</v>
      </c>
      <c r="D25" s="47" t="n">
        <f aca="false">C25*B13/B25</f>
        <v>212679725.454545</v>
      </c>
      <c r="E25" s="48" t="n">
        <f aca="false">D25/B13</f>
        <v>129.090909090909</v>
      </c>
      <c r="F25" s="49" t="n">
        <f aca="false">(E25-B14)/B14</f>
        <v>2.26812428078251</v>
      </c>
    </row>
    <row r="27" customFormat="false" ht="18" hidden="false" customHeight="true" outlineLevel="0" collapsed="false">
      <c r="A27" s="31" t="s">
        <v>293</v>
      </c>
      <c r="B27" s="39"/>
      <c r="C27" s="39"/>
      <c r="D27" s="39"/>
      <c r="E27" s="53" t="n">
        <f aca="false">AVERAGE(E21:E25)</f>
        <v>87.0053809655699</v>
      </c>
      <c r="F27" s="39"/>
    </row>
    <row r="28" customFormat="false" ht="18" hidden="false" customHeight="true" outlineLevel="0" collapsed="false">
      <c r="A28" s="31" t="s">
        <v>294</v>
      </c>
      <c r="B28" s="39"/>
      <c r="C28" s="39"/>
      <c r="D28" s="39"/>
      <c r="E28" s="53" t="n">
        <f aca="false">MIN(E21:E25)</f>
        <v>-0.0211335954243927</v>
      </c>
      <c r="F28" s="39"/>
    </row>
    <row r="29" customFormat="false" ht="18" hidden="false" customHeight="true" outlineLevel="0" collapsed="false">
      <c r="A29" s="31" t="s">
        <v>295</v>
      </c>
      <c r="B29" s="39"/>
      <c r="C29" s="39"/>
      <c r="D29" s="39"/>
      <c r="E29" s="53" t="n">
        <f aca="false">MAX(E21:E25)</f>
        <v>139.005814541733</v>
      </c>
      <c r="F29" s="39"/>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6400"/>
    <pageSetUpPr fitToPage="false"/>
  </sheetPr>
  <dimension ref="A1:H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8"/>
    <col collapsed="false" customWidth="true" hidden="false" outlineLevel="0" max="9" min="2" style="1" width="15"/>
  </cols>
  <sheetData>
    <row r="1" customFormat="false" ht="19.5" hidden="false" customHeight="true" outlineLevel="0" collapsed="false">
      <c r="A1" s="2" t="s">
        <v>296</v>
      </c>
      <c r="B1" s="2"/>
      <c r="C1" s="2"/>
      <c r="D1" s="2"/>
      <c r="E1" s="2"/>
      <c r="F1" s="2"/>
      <c r="G1" s="2"/>
      <c r="H1" s="2"/>
    </row>
    <row r="2" customFormat="false" ht="15" hidden="false" customHeight="true" outlineLevel="0" collapsed="false">
      <c r="A2" s="3" t="s">
        <v>297</v>
      </c>
    </row>
    <row r="4" customFormat="false" ht="15.75" hidden="false" customHeight="true" outlineLevel="0" collapsed="false">
      <c r="A4" s="7" t="s">
        <v>298</v>
      </c>
      <c r="B4" s="8"/>
      <c r="C4" s="8"/>
      <c r="D4" s="8"/>
      <c r="E4" s="8"/>
      <c r="F4" s="8"/>
      <c r="G4" s="8"/>
      <c r="H4" s="8"/>
    </row>
    <row r="5" customFormat="false" ht="27.75" hidden="false" customHeight="true" outlineLevel="0" collapsed="false">
      <c r="A5" s="24" t="s">
        <v>299</v>
      </c>
      <c r="B5" s="25" t="s">
        <v>300</v>
      </c>
      <c r="C5" s="25" t="s">
        <v>228</v>
      </c>
      <c r="D5" s="25" t="s">
        <v>229</v>
      </c>
      <c r="E5" s="25" t="s">
        <v>230</v>
      </c>
      <c r="F5" s="25" t="s">
        <v>231</v>
      </c>
      <c r="G5" s="25" t="s">
        <v>232</v>
      </c>
    </row>
    <row r="6" customFormat="false" ht="15" hidden="false" customHeight="true" outlineLevel="0" collapsed="false">
      <c r="A6" s="27" t="s">
        <v>301</v>
      </c>
      <c r="B6" s="29" t="n">
        <f aca="false">-Assumptions!$B$40*1647519</f>
        <v>-65077000.5</v>
      </c>
      <c r="C6" s="17" t="s">
        <v>302</v>
      </c>
      <c r="D6" s="17" t="s">
        <v>302</v>
      </c>
      <c r="E6" s="17" t="s">
        <v>302</v>
      </c>
      <c r="F6" s="17" t="s">
        <v>302</v>
      </c>
      <c r="G6" s="17" t="s">
        <v>302</v>
      </c>
    </row>
    <row r="7" customFormat="false" ht="15" hidden="false" customHeight="true" outlineLevel="0" collapsed="false">
      <c r="A7" s="27" t="s">
        <v>303</v>
      </c>
      <c r="B7" s="17" t="s">
        <v>302</v>
      </c>
      <c r="C7" s="29" t="n">
        <f aca="false">'Income Statement'!D37*1647519</f>
        <v>17176104.0425987</v>
      </c>
      <c r="D7" s="29" t="n">
        <f aca="false">'Income Statement'!E37*1647519</f>
        <v>18644945.7191121</v>
      </c>
      <c r="E7" s="29" t="n">
        <f aca="false">'Income Statement'!F37*1647519</f>
        <v>20245560.391226</v>
      </c>
      <c r="F7" s="29" t="n">
        <f aca="false">'Income Statement'!G37*1647519</f>
        <v>22671712.9617331</v>
      </c>
      <c r="G7" s="29" t="n">
        <f aca="false">'Income Statement'!H37*1647519</f>
        <v>25368733.6491738</v>
      </c>
    </row>
    <row r="8" customFormat="false" ht="15" hidden="false" customHeight="true" outlineLevel="0" collapsed="false">
      <c r="A8" s="27" t="s">
        <v>304</v>
      </c>
      <c r="B8" s="17" t="s">
        <v>302</v>
      </c>
      <c r="C8" s="17" t="s">
        <v>302</v>
      </c>
      <c r="D8" s="17" t="s">
        <v>302</v>
      </c>
      <c r="E8" s="17" t="s">
        <v>302</v>
      </c>
      <c r="F8" s="17" t="s">
        <v>302</v>
      </c>
      <c r="G8" s="29" t="n">
        <f aca="false">Assumptions!$B$45*'Income Statement'!H33</f>
        <v>338249781.988983</v>
      </c>
    </row>
    <row r="9" customFormat="false" ht="15" hidden="false" customHeight="true" outlineLevel="0" collapsed="false">
      <c r="A9" s="31" t="s">
        <v>305</v>
      </c>
      <c r="B9" s="32" t="n">
        <f aca="false">B6+B7+B8</f>
        <v>-65077000.5</v>
      </c>
      <c r="C9" s="32" t="n">
        <f aca="false">C6+C7+C8</f>
        <v>17176104.0425987</v>
      </c>
      <c r="D9" s="32" t="n">
        <f aca="false">D6+D7+D8</f>
        <v>18644945.7191121</v>
      </c>
      <c r="E9" s="32" t="n">
        <f aca="false">E6+E7+E8</f>
        <v>20245560.391226</v>
      </c>
      <c r="F9" s="32" t="n">
        <f aca="false">F6+F7+F8</f>
        <v>22671712.9617331</v>
      </c>
      <c r="G9" s="32" t="n">
        <f aca="false">G6+G7+G8</f>
        <v>363618515.638157</v>
      </c>
      <c r="H9" s="36"/>
    </row>
    <row r="11" customFormat="false" ht="15.75" hidden="false" customHeight="true" outlineLevel="0" collapsed="false">
      <c r="A11" s="7" t="s">
        <v>306</v>
      </c>
      <c r="B11" s="8"/>
      <c r="C11" s="8"/>
      <c r="D11" s="8"/>
      <c r="E11" s="8"/>
      <c r="F11" s="8"/>
      <c r="G11" s="8"/>
      <c r="H11" s="8"/>
    </row>
    <row r="12" customFormat="false" ht="18" hidden="false" customHeight="true" outlineLevel="0" collapsed="false">
      <c r="A12" s="4" t="s">
        <v>307</v>
      </c>
      <c r="C12" s="54" t="n">
        <f aca="false">IFERROR(IRR(B9:G9),"Check CF")</f>
        <v>0.573256228205517</v>
      </c>
      <c r="D12" s="54"/>
      <c r="E12" s="54"/>
    </row>
    <row r="13" customFormat="false" ht="18" hidden="false" customHeight="true" outlineLevel="0" collapsed="false">
      <c r="A13" s="4" t="s">
        <v>308</v>
      </c>
      <c r="C13" s="55" t="n">
        <f aca="false">NPV(Assumptions!$B$39,C9:G9)+B9</f>
        <v>180277151.229006</v>
      </c>
      <c r="D13" s="55"/>
      <c r="E13" s="55"/>
    </row>
    <row r="14" customFormat="false" ht="15" hidden="false" customHeight="true" outlineLevel="0" collapsed="false">
      <c r="A14" s="27" t="s">
        <v>309</v>
      </c>
      <c r="C14" s="56" t="n">
        <f aca="false">C12/1647519</f>
        <v>3.47951209185155E-007</v>
      </c>
      <c r="D14" s="56"/>
      <c r="E14" s="56"/>
    </row>
    <row r="15" customFormat="false" ht="18" hidden="false" customHeight="true" outlineLevel="0" collapsed="false">
      <c r="A15" s="4" t="s">
        <v>310</v>
      </c>
      <c r="C15" s="54" t="n">
        <f aca="false">(SUM(C9:G9)+B9)/ABS(B9)</f>
        <v>5.79743742572811</v>
      </c>
      <c r="D15" s="54"/>
      <c r="E15" s="54"/>
    </row>
    <row r="16" customFormat="false" ht="18" hidden="false" customHeight="true" outlineLevel="0" collapsed="false">
      <c r="A16" s="4" t="s">
        <v>311</v>
      </c>
      <c r="C16" s="57" t="n">
        <f aca="false">IFERROR(G8/ABS(B6),"N/A")</f>
        <v>5.19768550163868</v>
      </c>
      <c r="D16" s="57"/>
      <c r="E16" s="57"/>
    </row>
    <row r="17" customFormat="false" ht="15" hidden="false" customHeight="true" outlineLevel="0" collapsed="false">
      <c r="A17" s="27" t="s">
        <v>312</v>
      </c>
      <c r="C17" s="58" t="n">
        <f aca="false">5</f>
        <v>5</v>
      </c>
      <c r="D17" s="58"/>
      <c r="E17" s="58"/>
    </row>
    <row r="18" customFormat="false" ht="15" hidden="false" customHeight="true" outlineLevel="0" collapsed="false">
      <c r="A18" s="27" t="s">
        <v>313</v>
      </c>
      <c r="C18" s="59" t="n">
        <f aca="false">ABS(B6)</f>
        <v>65077000.5</v>
      </c>
      <c r="D18" s="59"/>
      <c r="E18" s="59"/>
    </row>
    <row r="19" customFormat="false" ht="15" hidden="false" customHeight="true" outlineLevel="0" collapsed="false">
      <c r="A19" s="27" t="s">
        <v>314</v>
      </c>
      <c r="C19" s="59" t="n">
        <f aca="false">G8+SUM(C7:G7)</f>
        <v>442356838.752827</v>
      </c>
      <c r="D19" s="59"/>
      <c r="E19" s="59"/>
    </row>
    <row r="20" customFormat="false" ht="18" hidden="false" customHeight="true" outlineLevel="0" collapsed="false">
      <c r="A20" s="4" t="s">
        <v>315</v>
      </c>
      <c r="C20" s="54" t="n">
        <f aca="false">IFERROR(POWER(C16,1/C17)-1,"N/A")</f>
        <v>0.390471205046779</v>
      </c>
      <c r="D20" s="54"/>
      <c r="E20" s="54"/>
    </row>
    <row r="22" customFormat="false" ht="15.75" hidden="false" customHeight="true" outlineLevel="0" collapsed="false">
      <c r="A22" s="7" t="s">
        <v>316</v>
      </c>
      <c r="B22" s="8"/>
      <c r="C22" s="8"/>
      <c r="D22" s="8"/>
      <c r="E22" s="8"/>
      <c r="F22" s="8"/>
      <c r="G22" s="8"/>
      <c r="H22" s="8"/>
    </row>
    <row r="23" customFormat="false" ht="15.75" hidden="false" customHeight="true" outlineLevel="0" collapsed="false">
      <c r="A23" s="24" t="s">
        <v>317</v>
      </c>
      <c r="B23" s="42" t="s">
        <v>318</v>
      </c>
      <c r="C23" s="42" t="s">
        <v>263</v>
      </c>
      <c r="D23" s="42" t="s">
        <v>128</v>
      </c>
      <c r="E23" s="42" t="s">
        <v>129</v>
      </c>
      <c r="F23" s="42" t="s">
        <v>130</v>
      </c>
      <c r="G23" s="42" t="s">
        <v>131</v>
      </c>
      <c r="H23" s="42" t="s">
        <v>132</v>
      </c>
    </row>
    <row r="24" customFormat="false" ht="15" hidden="false" customHeight="true" outlineLevel="0" collapsed="false">
      <c r="A24" s="44" t="s">
        <v>319</v>
      </c>
      <c r="B24" s="60" t="n">
        <v>0.1993</v>
      </c>
      <c r="C24" s="60" t="n">
        <v>0.1971</v>
      </c>
      <c r="D24" s="61" t="n">
        <f aca="false">C24*1.02</f>
        <v>0.201042</v>
      </c>
      <c r="E24" s="61" t="n">
        <f aca="false">D24*1.02</f>
        <v>0.20506284</v>
      </c>
      <c r="F24" s="61" t="n">
        <f aca="false">E24*1.02</f>
        <v>0.2091640968</v>
      </c>
      <c r="G24" s="61" t="n">
        <f aca="false">F24*1.02</f>
        <v>0.213347378736</v>
      </c>
      <c r="H24" s="61" t="n">
        <f aca="false">G24*1.02</f>
        <v>0.21761432631072</v>
      </c>
    </row>
    <row r="25" customFormat="false" ht="15" hidden="false" customHeight="true" outlineLevel="0" collapsed="false">
      <c r="A25" s="27" t="s">
        <v>320</v>
      </c>
      <c r="B25" s="35" t="n">
        <v>0.0329</v>
      </c>
      <c r="C25" s="35" t="n">
        <v>0.0327</v>
      </c>
      <c r="D25" s="30" t="n">
        <f aca="false">C25*1.02</f>
        <v>0.033354</v>
      </c>
      <c r="E25" s="30" t="n">
        <f aca="false">D25*1.02</f>
        <v>0.03402108</v>
      </c>
      <c r="F25" s="30" t="n">
        <f aca="false">E25*1.02</f>
        <v>0.0347015016</v>
      </c>
      <c r="G25" s="30" t="n">
        <f aca="false">F25*1.02</f>
        <v>0.035395531632</v>
      </c>
      <c r="H25" s="30" t="n">
        <f aca="false">G25*1.02</f>
        <v>0.03610344226464</v>
      </c>
    </row>
    <row r="26" customFormat="false" ht="15" hidden="false" customHeight="true" outlineLevel="0" collapsed="false">
      <c r="A26" s="44" t="s">
        <v>321</v>
      </c>
      <c r="B26" s="60" t="n">
        <v>0.077</v>
      </c>
      <c r="C26" s="60" t="n">
        <v>0.087</v>
      </c>
      <c r="D26" s="61" t="n">
        <f aca="false">C26</f>
        <v>0.087</v>
      </c>
      <c r="E26" s="61" t="n">
        <f aca="false">D26</f>
        <v>0.087</v>
      </c>
      <c r="F26" s="61" t="n">
        <f aca="false">E26</f>
        <v>0.087</v>
      </c>
      <c r="G26" s="61" t="n">
        <f aca="false">F26</f>
        <v>0.087</v>
      </c>
      <c r="H26" s="61" t="n">
        <f aca="false">G26</f>
        <v>0.087</v>
      </c>
    </row>
    <row r="27" customFormat="false" ht="15" hidden="false" customHeight="true" outlineLevel="0" collapsed="false">
      <c r="A27" s="27" t="s">
        <v>164</v>
      </c>
      <c r="B27" s="35" t="n">
        <v>0.5145</v>
      </c>
      <c r="C27" s="35" t="n">
        <v>0.517</v>
      </c>
      <c r="D27" s="30" t="n">
        <f aca="false">C27</f>
        <v>0.517</v>
      </c>
      <c r="E27" s="30" t="n">
        <f aca="false">D27</f>
        <v>0.517</v>
      </c>
      <c r="F27" s="30" t="n">
        <f aca="false">E27</f>
        <v>0.517</v>
      </c>
      <c r="G27" s="30" t="n">
        <f aca="false">F27</f>
        <v>0.517</v>
      </c>
      <c r="H27" s="30" t="n">
        <f aca="false">G27</f>
        <v>0.517</v>
      </c>
    </row>
    <row r="28" customFormat="false" ht="15" hidden="false" customHeight="true" outlineLevel="0" collapsed="false">
      <c r="A28" s="44" t="s">
        <v>272</v>
      </c>
      <c r="B28" s="62" t="n">
        <v>13.28</v>
      </c>
      <c r="C28" s="62" t="n">
        <v>14.2</v>
      </c>
      <c r="D28" s="63" t="n">
        <f aca="false">'Income Statement'!D36</f>
        <v>17.3757268177167</v>
      </c>
      <c r="E28" s="63" t="n">
        <f aca="false">'Income Statement'!E36</f>
        <v>18.8616395512607</v>
      </c>
      <c r="F28" s="63" t="n">
        <f aca="false">'Income Statement'!F36</f>
        <v>20.4808567622245</v>
      </c>
      <c r="G28" s="63" t="n">
        <f aca="false">'Income Statement'!G36</f>
        <v>22.9352063736777</v>
      </c>
      <c r="H28" s="63" t="n">
        <f aca="false">'Income Statement'!H36</f>
        <v>25.663572164341</v>
      </c>
    </row>
    <row r="29" customFormat="false" ht="15" hidden="false" customHeight="true" outlineLevel="0" collapsed="false">
      <c r="A29" s="27" t="s">
        <v>322</v>
      </c>
      <c r="B29" s="33" t="n">
        <v>5.5</v>
      </c>
      <c r="C29" s="33" t="n">
        <v>7.1</v>
      </c>
      <c r="D29" s="43" t="n">
        <f aca="false">'Income Statement'!D37</f>
        <v>10.42543609063</v>
      </c>
      <c r="E29" s="43" t="n">
        <f aca="false">'Income Statement'!E37</f>
        <v>11.3169837307564</v>
      </c>
      <c r="F29" s="43" t="n">
        <f aca="false">'Income Statement'!F37</f>
        <v>12.2885140573347</v>
      </c>
      <c r="G29" s="43" t="n">
        <f aca="false">'Income Statement'!G37</f>
        <v>13.7611238242066</v>
      </c>
      <c r="H29" s="43" t="n">
        <f aca="false">'Income Statement'!H37</f>
        <v>15.3981432986046</v>
      </c>
    </row>
    <row r="30" customFormat="false" ht="15" hidden="false" customHeight="true" outlineLevel="0" collapsed="false">
      <c r="A30" s="44" t="s">
        <v>323</v>
      </c>
      <c r="B30" s="60" t="n">
        <v>0.4143</v>
      </c>
      <c r="C30" s="60" t="n">
        <v>0.5</v>
      </c>
      <c r="D30" s="61" t="n">
        <f aca="false">C30</f>
        <v>0.5</v>
      </c>
      <c r="E30" s="61" t="n">
        <f aca="false">D30</f>
        <v>0.5</v>
      </c>
      <c r="F30" s="61" t="n">
        <f aca="false">E30</f>
        <v>0.5</v>
      </c>
      <c r="G30" s="61" t="n">
        <f aca="false">F30</f>
        <v>0.5</v>
      </c>
      <c r="H30" s="61" t="n">
        <f aca="false">G30</f>
        <v>0.5</v>
      </c>
    </row>
    <row r="31" customFormat="false" ht="15" hidden="false" customHeight="true" outlineLevel="0" collapsed="false">
      <c r="A31" s="27" t="s">
        <v>324</v>
      </c>
      <c r="B31" s="35" t="n">
        <v>0.0855</v>
      </c>
      <c r="C31" s="35" t="n">
        <v>0.0745</v>
      </c>
      <c r="D31" s="30" t="n">
        <f aca="false">C31</f>
        <v>0.0745</v>
      </c>
      <c r="E31" s="30" t="n">
        <f aca="false">D31</f>
        <v>0.0745</v>
      </c>
      <c r="F31" s="30" t="n">
        <f aca="false">E31</f>
        <v>0.0745</v>
      </c>
      <c r="G31" s="30" t="n">
        <f aca="false">F31</f>
        <v>0.0745</v>
      </c>
      <c r="H31" s="30" t="n">
        <f aca="false">G31</f>
        <v>0.0745</v>
      </c>
    </row>
    <row r="32" customFormat="false" ht="15" hidden="false" customHeight="true" outlineLevel="0" collapsed="false">
      <c r="A32" s="44" t="s">
        <v>195</v>
      </c>
      <c r="B32" s="60" t="n">
        <v>0.5854</v>
      </c>
      <c r="C32" s="60" t="n">
        <v>0.5771</v>
      </c>
      <c r="D32" s="61" t="n">
        <f aca="false">C32</f>
        <v>0.5771</v>
      </c>
      <c r="E32" s="61" t="n">
        <f aca="false">D32</f>
        <v>0.5771</v>
      </c>
      <c r="F32" s="61" t="n">
        <f aca="false">E32</f>
        <v>0.5771</v>
      </c>
      <c r="G32" s="61" t="n">
        <f aca="false">F32</f>
        <v>0.5771</v>
      </c>
      <c r="H32" s="61" t="n">
        <f aca="false">G32</f>
        <v>0.5771</v>
      </c>
    </row>
  </sheetData>
  <mergeCells count="10">
    <mergeCell ref="A1:H1"/>
    <mergeCell ref="C12:E12"/>
    <mergeCell ref="C13:E13"/>
    <mergeCell ref="C14:E14"/>
    <mergeCell ref="C15:E15"/>
    <mergeCell ref="C16:E16"/>
    <mergeCell ref="C17:E17"/>
    <mergeCell ref="C18:E18"/>
    <mergeCell ref="C19:E19"/>
    <mergeCell ref="C20:E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B008B"/>
    <pageSetUpPr fitToPage="false"/>
  </sheetPr>
  <dimension ref="A1:K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11" min="2" style="1" width="13"/>
  </cols>
  <sheetData>
    <row r="1" customFormat="false" ht="19.5" hidden="false" customHeight="true" outlineLevel="0" collapsed="false">
      <c r="A1" s="2" t="s">
        <v>325</v>
      </c>
      <c r="B1" s="2"/>
      <c r="C1" s="2"/>
      <c r="D1" s="2"/>
      <c r="E1" s="2"/>
      <c r="F1" s="2"/>
      <c r="G1" s="2"/>
      <c r="H1" s="2"/>
      <c r="I1" s="2"/>
      <c r="J1" s="2"/>
      <c r="K1" s="2"/>
    </row>
    <row r="2" customFormat="false" ht="15" hidden="false" customHeight="true" outlineLevel="0" collapsed="false">
      <c r="A2" s="3" t="s">
        <v>326</v>
      </c>
    </row>
    <row r="4" customFormat="false" ht="15.75" hidden="false" customHeight="true" outlineLevel="0" collapsed="false">
      <c r="A4" s="7" t="s">
        <v>327</v>
      </c>
      <c r="B4" s="8"/>
      <c r="C4" s="8"/>
      <c r="D4" s="8"/>
      <c r="E4" s="8"/>
      <c r="F4" s="8"/>
      <c r="G4" s="8"/>
      <c r="H4" s="8"/>
      <c r="I4" s="8"/>
      <c r="J4" s="8"/>
      <c r="K4" s="8"/>
    </row>
    <row r="5" customFormat="false" ht="15" hidden="false" customHeight="true" outlineLevel="0" collapsed="false">
      <c r="A5" s="24" t="s">
        <v>328</v>
      </c>
      <c r="B5" s="42" t="s">
        <v>329</v>
      </c>
      <c r="C5" s="42" t="s">
        <v>330</v>
      </c>
      <c r="D5" s="42" t="s">
        <v>331</v>
      </c>
      <c r="E5" s="42" t="s">
        <v>332</v>
      </c>
      <c r="F5" s="42" t="s">
        <v>333</v>
      </c>
      <c r="G5" s="42" t="s">
        <v>334</v>
      </c>
      <c r="H5" s="42" t="s">
        <v>335</v>
      </c>
      <c r="I5" s="42" t="s">
        <v>336</v>
      </c>
    </row>
    <row r="6" customFormat="false" ht="15" hidden="false" customHeight="true" outlineLevel="0" collapsed="false">
      <c r="A6" s="42" t="s">
        <v>337</v>
      </c>
      <c r="B6" s="64" t="n">
        <v>221.91</v>
      </c>
      <c r="C6" s="64" t="n">
        <v>230.59</v>
      </c>
      <c r="D6" s="64" t="n">
        <v>240.42</v>
      </c>
      <c r="E6" s="64" t="n">
        <v>251.66</v>
      </c>
      <c r="F6" s="64" t="n">
        <v>264.63</v>
      </c>
      <c r="G6" s="64" t="n">
        <v>279.76</v>
      </c>
      <c r="H6" s="64" t="n">
        <v>297.64</v>
      </c>
      <c r="I6" s="64" t="n">
        <v>319.1</v>
      </c>
    </row>
    <row r="7" customFormat="false" ht="15" hidden="false" customHeight="true" outlineLevel="0" collapsed="false">
      <c r="A7" s="42" t="s">
        <v>338</v>
      </c>
      <c r="B7" s="64" t="n">
        <v>201.92</v>
      </c>
      <c r="C7" s="64" t="n">
        <v>208.57</v>
      </c>
      <c r="D7" s="64" t="n">
        <v>216.02</v>
      </c>
      <c r="E7" s="64" t="n">
        <v>224.39</v>
      </c>
      <c r="F7" s="64" t="n">
        <v>233.87</v>
      </c>
      <c r="G7" s="64" t="n">
        <v>244.72</v>
      </c>
      <c r="H7" s="64" t="n">
        <v>257.23</v>
      </c>
      <c r="I7" s="64" t="n">
        <v>271.83</v>
      </c>
    </row>
    <row r="8" customFormat="false" ht="15" hidden="false" customHeight="true" outlineLevel="0" collapsed="false">
      <c r="A8" s="42" t="s">
        <v>339</v>
      </c>
      <c r="B8" s="64" t="n">
        <v>185.75</v>
      </c>
      <c r="C8" s="64" t="n">
        <v>190.98</v>
      </c>
      <c r="D8" s="64" t="n">
        <v>196.76</v>
      </c>
      <c r="E8" s="64" t="n">
        <v>203.19</v>
      </c>
      <c r="F8" s="64" t="n">
        <v>210.37</v>
      </c>
      <c r="G8" s="64" t="n">
        <v>218.45</v>
      </c>
      <c r="H8" s="64" t="n">
        <v>227.6</v>
      </c>
      <c r="I8" s="64" t="n">
        <v>238.07</v>
      </c>
    </row>
    <row r="9" customFormat="false" ht="15" hidden="false" customHeight="true" outlineLevel="0" collapsed="false">
      <c r="A9" s="42" t="s">
        <v>340</v>
      </c>
      <c r="B9" s="64" t="n">
        <v>172.4</v>
      </c>
      <c r="C9" s="64" t="n">
        <v>176.59</v>
      </c>
      <c r="D9" s="64" t="n">
        <v>181.18</v>
      </c>
      <c r="E9" s="64" t="n">
        <v>186.24</v>
      </c>
      <c r="F9" s="64" t="n">
        <v>191.82</v>
      </c>
      <c r="G9" s="64" t="n">
        <v>198.02</v>
      </c>
      <c r="H9" s="64" t="n">
        <v>204.95</v>
      </c>
      <c r="I9" s="64" t="n">
        <v>212.75</v>
      </c>
    </row>
    <row r="10" customFormat="false" ht="15" hidden="false" customHeight="true" outlineLevel="0" collapsed="false">
      <c r="A10" s="42" t="s">
        <v>341</v>
      </c>
      <c r="B10" s="64" t="n">
        <v>161.2</v>
      </c>
      <c r="C10" s="64" t="n">
        <v>164.62</v>
      </c>
      <c r="D10" s="64" t="n">
        <v>168.33</v>
      </c>
      <c r="E10" s="64" t="n">
        <v>172.37</v>
      </c>
      <c r="F10" s="64" t="n">
        <v>176.81</v>
      </c>
      <c r="G10" s="64" t="n">
        <v>181.69</v>
      </c>
      <c r="H10" s="64" t="n">
        <v>187.08</v>
      </c>
      <c r="I10" s="64" t="n">
        <v>193.07</v>
      </c>
    </row>
    <row r="11" customFormat="false" ht="15" hidden="false" customHeight="true" outlineLevel="0" collapsed="false">
      <c r="A11" s="42" t="s">
        <v>342</v>
      </c>
      <c r="B11" s="64" t="n">
        <v>151.67</v>
      </c>
      <c r="C11" s="64" t="n">
        <v>154.49</v>
      </c>
      <c r="D11" s="64" t="n">
        <v>157.53</v>
      </c>
      <c r="E11" s="64" t="n">
        <v>160.83</v>
      </c>
      <c r="F11" s="64" t="n">
        <v>164.42</v>
      </c>
      <c r="G11" s="64" t="n">
        <v>168.33</v>
      </c>
      <c r="H11" s="64" t="n">
        <v>172.61</v>
      </c>
      <c r="I11" s="64" t="n">
        <v>177.32</v>
      </c>
    </row>
    <row r="12" customFormat="false" ht="15" hidden="false" customHeight="true" outlineLevel="0" collapsed="false">
      <c r="A12" s="42" t="s">
        <v>343</v>
      </c>
      <c r="B12" s="64" t="n">
        <v>143.46</v>
      </c>
      <c r="C12" s="64" t="n">
        <v>145.82</v>
      </c>
      <c r="D12" s="64" t="n">
        <v>148.35</v>
      </c>
      <c r="E12" s="64" t="n">
        <v>151.07</v>
      </c>
      <c r="F12" s="64" t="n">
        <v>154.01</v>
      </c>
      <c r="G12" s="64" t="n">
        <v>157.2</v>
      </c>
      <c r="H12" s="64" t="n">
        <v>160.66</v>
      </c>
      <c r="I12" s="64" t="n">
        <v>164.44</v>
      </c>
    </row>
    <row r="13" customFormat="false" ht="15" hidden="false" customHeight="true" outlineLevel="0" collapsed="false">
      <c r="A13" s="42" t="s">
        <v>344</v>
      </c>
      <c r="B13" s="64" t="n">
        <v>136.32</v>
      </c>
      <c r="C13" s="64" t="n">
        <v>138.31</v>
      </c>
      <c r="D13" s="64" t="n">
        <v>140.43</v>
      </c>
      <c r="E13" s="64" t="n">
        <v>142.71</v>
      </c>
      <c r="F13" s="64" t="n">
        <v>145.15</v>
      </c>
      <c r="G13" s="64" t="n">
        <v>147.79</v>
      </c>
      <c r="H13" s="64" t="n">
        <v>150.63</v>
      </c>
      <c r="I13" s="64" t="n">
        <v>153.71</v>
      </c>
    </row>
    <row r="15" customFormat="false" ht="15.75" hidden="false" customHeight="true" outlineLevel="0" collapsed="false">
      <c r="A15" s="7" t="s">
        <v>345</v>
      </c>
      <c r="B15" s="8"/>
      <c r="C15" s="8"/>
      <c r="D15" s="8"/>
      <c r="E15" s="8"/>
      <c r="F15" s="8"/>
      <c r="G15" s="8"/>
      <c r="H15" s="8"/>
      <c r="I15" s="8"/>
      <c r="J15" s="8"/>
      <c r="K15" s="8"/>
    </row>
    <row r="16" customFormat="false" ht="15" hidden="false" customHeight="true" outlineLevel="0" collapsed="false">
      <c r="A16" s="24" t="s">
        <v>346</v>
      </c>
      <c r="B16" s="42" t="s">
        <v>347</v>
      </c>
      <c r="C16" s="42" t="s">
        <v>348</v>
      </c>
      <c r="D16" s="42" t="s">
        <v>349</v>
      </c>
      <c r="E16" s="42" t="s">
        <v>338</v>
      </c>
      <c r="F16" s="42" t="s">
        <v>340</v>
      </c>
      <c r="G16" s="42" t="s">
        <v>342</v>
      </c>
      <c r="H16" s="42" t="s">
        <v>344</v>
      </c>
    </row>
    <row r="17" customFormat="false" ht="15" hidden="false" customHeight="true" outlineLevel="0" collapsed="false">
      <c r="A17" s="42" t="s">
        <v>350</v>
      </c>
      <c r="B17" s="65" t="n">
        <v>0.02</v>
      </c>
      <c r="C17" s="65" t="n">
        <v>0.02</v>
      </c>
      <c r="D17" s="65" t="n">
        <v>0.02</v>
      </c>
      <c r="E17" s="65" t="n">
        <v>0.02</v>
      </c>
      <c r="F17" s="65" t="n">
        <v>0.02</v>
      </c>
      <c r="G17" s="65" t="n">
        <v>0.02</v>
      </c>
      <c r="H17" s="65" t="n">
        <v>0.02</v>
      </c>
    </row>
    <row r="18" customFormat="false" ht="15" hidden="false" customHeight="true" outlineLevel="0" collapsed="false">
      <c r="A18" s="42" t="s">
        <v>347</v>
      </c>
      <c r="B18" s="65" t="n">
        <v>0.02</v>
      </c>
      <c r="C18" s="65" t="n">
        <v>0.02</v>
      </c>
      <c r="D18" s="65" t="n">
        <v>0.02</v>
      </c>
      <c r="E18" s="65" t="n">
        <v>0.02</v>
      </c>
      <c r="F18" s="65" t="n">
        <v>0.02</v>
      </c>
      <c r="G18" s="65" t="n">
        <v>0.02</v>
      </c>
      <c r="H18" s="65" t="n">
        <v>0.02</v>
      </c>
    </row>
    <row r="19" customFormat="false" ht="15" hidden="false" customHeight="true" outlineLevel="0" collapsed="false">
      <c r="A19" s="42" t="s">
        <v>348</v>
      </c>
      <c r="B19" s="65" t="n">
        <v>0.03</v>
      </c>
      <c r="C19" s="65" t="n">
        <v>0.02</v>
      </c>
      <c r="D19" s="65" t="n">
        <v>0.02</v>
      </c>
      <c r="E19" s="65" t="n">
        <v>0.02</v>
      </c>
      <c r="F19" s="65" t="n">
        <v>0.02</v>
      </c>
      <c r="G19" s="65" t="n">
        <v>0.02</v>
      </c>
      <c r="H19" s="65" t="n">
        <v>0.02</v>
      </c>
    </row>
    <row r="20" customFormat="false" ht="15" hidden="false" customHeight="true" outlineLevel="0" collapsed="false">
      <c r="A20" s="42" t="s">
        <v>349</v>
      </c>
      <c r="B20" s="65" t="n">
        <v>0.03</v>
      </c>
      <c r="C20" s="65" t="n">
        <v>0.03</v>
      </c>
      <c r="D20" s="65" t="n">
        <v>0.03</v>
      </c>
      <c r="E20" s="65" t="n">
        <v>0.02</v>
      </c>
      <c r="F20" s="65" t="n">
        <v>0.02</v>
      </c>
      <c r="G20" s="65" t="n">
        <v>0.02</v>
      </c>
      <c r="H20" s="65" t="n">
        <v>0.02</v>
      </c>
    </row>
    <row r="21" customFormat="false" ht="15" hidden="false" customHeight="true" outlineLevel="0" collapsed="false">
      <c r="A21" s="42" t="s">
        <v>338</v>
      </c>
      <c r="B21" s="65" t="n">
        <v>0.03</v>
      </c>
      <c r="C21" s="65" t="n">
        <v>0.03</v>
      </c>
      <c r="D21" s="65" t="n">
        <v>0.03</v>
      </c>
      <c r="E21" s="65" t="n">
        <v>0.03</v>
      </c>
      <c r="F21" s="65" t="n">
        <v>0.02</v>
      </c>
      <c r="G21" s="65" t="n">
        <v>0.02</v>
      </c>
      <c r="H21" s="65" t="n">
        <v>0.02</v>
      </c>
    </row>
    <row r="22" customFormat="false" ht="15" hidden="false" customHeight="true" outlineLevel="0" collapsed="false">
      <c r="A22" s="42" t="s">
        <v>340</v>
      </c>
      <c r="B22" s="65" t="n">
        <v>0.03</v>
      </c>
      <c r="C22" s="65" t="n">
        <v>0.03</v>
      </c>
      <c r="D22" s="65" t="n">
        <v>0.03</v>
      </c>
      <c r="E22" s="65" t="n">
        <v>0.03</v>
      </c>
      <c r="F22" s="65" t="n">
        <v>0.03</v>
      </c>
      <c r="G22" s="65" t="n">
        <v>0.03</v>
      </c>
      <c r="H22" s="65" t="n">
        <v>0.02</v>
      </c>
    </row>
    <row r="23" customFormat="false" ht="15" hidden="false" customHeight="true" outlineLevel="0" collapsed="false">
      <c r="A23" s="42" t="s">
        <v>342</v>
      </c>
      <c r="B23" s="65" t="n">
        <v>0.03</v>
      </c>
      <c r="C23" s="65" t="n">
        <v>0.03</v>
      </c>
      <c r="D23" s="65" t="n">
        <v>0.03</v>
      </c>
      <c r="E23" s="65" t="n">
        <v>0.03</v>
      </c>
      <c r="F23" s="65" t="n">
        <v>0.03</v>
      </c>
      <c r="G23" s="65" t="n">
        <v>0.03</v>
      </c>
      <c r="H23" s="65" t="n">
        <v>0.03</v>
      </c>
    </row>
    <row r="25" customFormat="false" ht="15.75" hidden="false" customHeight="true" outlineLevel="0" collapsed="false">
      <c r="A25" s="7" t="s">
        <v>351</v>
      </c>
      <c r="B25" s="8"/>
      <c r="C25" s="8"/>
      <c r="D25" s="8"/>
      <c r="E25" s="8"/>
      <c r="F25" s="8"/>
      <c r="G25" s="8"/>
      <c r="H25" s="8"/>
      <c r="I25" s="8"/>
      <c r="J25" s="8"/>
      <c r="K25" s="8"/>
    </row>
    <row r="26" customFormat="false" ht="15" hidden="false" customHeight="true" outlineLevel="0" collapsed="false">
      <c r="A26" s="24" t="s">
        <v>352</v>
      </c>
      <c r="B26" s="42" t="s">
        <v>353</v>
      </c>
      <c r="C26" s="42" t="s">
        <v>354</v>
      </c>
      <c r="D26" s="42" t="s">
        <v>355</v>
      </c>
      <c r="E26" s="42" t="s">
        <v>356</v>
      </c>
      <c r="F26" s="42" t="s">
        <v>357</v>
      </c>
      <c r="G26" s="42" t="s">
        <v>358</v>
      </c>
      <c r="H26" s="42" t="s">
        <v>359</v>
      </c>
      <c r="I26" s="42" t="s">
        <v>360</v>
      </c>
    </row>
    <row r="27" customFormat="false" ht="15" hidden="false" customHeight="true" outlineLevel="0" collapsed="false">
      <c r="A27" s="42" t="s">
        <v>353</v>
      </c>
      <c r="B27" s="66" t="n">
        <v>1.54</v>
      </c>
      <c r="C27" s="66" t="n">
        <v>1.92</v>
      </c>
      <c r="D27" s="67" t="n">
        <v>2.31</v>
      </c>
      <c r="E27" s="67" t="n">
        <v>2.69</v>
      </c>
      <c r="F27" s="67" t="n">
        <v>3.08</v>
      </c>
      <c r="G27" s="67" t="n">
        <v>3.46</v>
      </c>
      <c r="H27" s="67" t="n">
        <v>3.85</v>
      </c>
      <c r="I27" s="67" t="n">
        <v>4.23</v>
      </c>
    </row>
    <row r="28" customFormat="false" ht="15" hidden="false" customHeight="true" outlineLevel="0" collapsed="false">
      <c r="A28" s="42" t="s">
        <v>354</v>
      </c>
      <c r="B28" s="66" t="n">
        <v>1.23</v>
      </c>
      <c r="C28" s="66" t="n">
        <v>1.54</v>
      </c>
      <c r="D28" s="66" t="n">
        <v>1.85</v>
      </c>
      <c r="E28" s="67" t="n">
        <v>2.15</v>
      </c>
      <c r="F28" s="67" t="n">
        <v>2.46</v>
      </c>
      <c r="G28" s="67" t="n">
        <v>2.77</v>
      </c>
      <c r="H28" s="67" t="n">
        <v>3.08</v>
      </c>
      <c r="I28" s="67" t="n">
        <v>3.38</v>
      </c>
    </row>
    <row r="29" customFormat="false" ht="15" hidden="false" customHeight="true" outlineLevel="0" collapsed="false">
      <c r="A29" s="42" t="s">
        <v>355</v>
      </c>
      <c r="B29" s="66" t="n">
        <v>1.03</v>
      </c>
      <c r="C29" s="66" t="n">
        <v>1.28</v>
      </c>
      <c r="D29" s="66" t="n">
        <v>1.54</v>
      </c>
      <c r="E29" s="66" t="n">
        <v>1.8</v>
      </c>
      <c r="F29" s="67" t="n">
        <v>2.05</v>
      </c>
      <c r="G29" s="67" t="n">
        <v>2.31</v>
      </c>
      <c r="H29" s="67" t="n">
        <v>2.56</v>
      </c>
      <c r="I29" s="67" t="n">
        <v>2.82</v>
      </c>
    </row>
    <row r="30" customFormat="false" ht="15" hidden="false" customHeight="true" outlineLevel="0" collapsed="false">
      <c r="A30" s="42" t="s">
        <v>356</v>
      </c>
      <c r="B30" s="68" t="n">
        <v>0.88</v>
      </c>
      <c r="C30" s="66" t="n">
        <v>1.1</v>
      </c>
      <c r="D30" s="66" t="n">
        <v>1.32</v>
      </c>
      <c r="E30" s="66" t="n">
        <v>1.54</v>
      </c>
      <c r="F30" s="66" t="n">
        <v>1.76</v>
      </c>
      <c r="G30" s="66" t="n">
        <v>1.98</v>
      </c>
      <c r="H30" s="67" t="n">
        <v>2.2</v>
      </c>
      <c r="I30" s="67" t="n">
        <v>2.42</v>
      </c>
    </row>
    <row r="31" customFormat="false" ht="15" hidden="false" customHeight="true" outlineLevel="0" collapsed="false">
      <c r="A31" s="42" t="s">
        <v>357</v>
      </c>
      <c r="B31" s="68" t="n">
        <v>0.77</v>
      </c>
      <c r="C31" s="68" t="n">
        <v>0.96</v>
      </c>
      <c r="D31" s="66" t="n">
        <v>1.15</v>
      </c>
      <c r="E31" s="66" t="n">
        <v>1.35</v>
      </c>
      <c r="F31" s="66" t="n">
        <v>1.54</v>
      </c>
      <c r="G31" s="66" t="n">
        <v>1.73</v>
      </c>
      <c r="H31" s="66" t="n">
        <v>1.92</v>
      </c>
      <c r="I31" s="67" t="n">
        <v>2.12</v>
      </c>
    </row>
    <row r="32" customFormat="false" ht="15" hidden="false" customHeight="true" outlineLevel="0" collapsed="false">
      <c r="A32" s="42" t="s">
        <v>358</v>
      </c>
      <c r="B32" s="68" t="n">
        <v>0.68</v>
      </c>
      <c r="C32" s="68" t="n">
        <v>0.85</v>
      </c>
      <c r="D32" s="66" t="n">
        <v>1.03</v>
      </c>
      <c r="E32" s="66" t="n">
        <v>1.2</v>
      </c>
      <c r="F32" s="66" t="n">
        <v>1.37</v>
      </c>
      <c r="G32" s="66" t="n">
        <v>1.54</v>
      </c>
      <c r="H32" s="66" t="n">
        <v>1.71</v>
      </c>
      <c r="I32" s="66" t="n">
        <v>1.88</v>
      </c>
    </row>
    <row r="33" customFormat="false" ht="15" hidden="false" customHeight="true" outlineLevel="0" collapsed="false">
      <c r="A33" s="42" t="s">
        <v>359</v>
      </c>
      <c r="B33" s="68" t="n">
        <v>0.62</v>
      </c>
      <c r="C33" s="68" t="n">
        <v>0.77</v>
      </c>
      <c r="D33" s="68" t="n">
        <v>0.92</v>
      </c>
      <c r="E33" s="66" t="n">
        <v>1.08</v>
      </c>
      <c r="F33" s="66" t="n">
        <v>1.23</v>
      </c>
      <c r="G33" s="66" t="n">
        <v>1.38</v>
      </c>
      <c r="H33" s="66" t="n">
        <v>1.54</v>
      </c>
      <c r="I33" s="66" t="n">
        <v>1.69</v>
      </c>
    </row>
    <row r="34" customFormat="false" ht="15" hidden="false" customHeight="true" outlineLevel="0" collapsed="false">
      <c r="A34" s="42" t="s">
        <v>360</v>
      </c>
      <c r="B34" s="68" t="n">
        <v>0.56</v>
      </c>
      <c r="C34" s="68" t="n">
        <v>0.7</v>
      </c>
      <c r="D34" s="68" t="n">
        <v>0.84</v>
      </c>
      <c r="E34" s="68" t="n">
        <v>0.98</v>
      </c>
      <c r="F34" s="66" t="n">
        <v>1.12</v>
      </c>
      <c r="G34" s="66" t="n">
        <v>1.26</v>
      </c>
      <c r="H34" s="66" t="n">
        <v>1.4</v>
      </c>
      <c r="I34" s="66" t="n">
        <v>1.54</v>
      </c>
    </row>
    <row r="36" customFormat="false" ht="15.75" hidden="false" customHeight="true" outlineLevel="0" collapsed="false">
      <c r="A36" s="7" t="s">
        <v>361</v>
      </c>
      <c r="B36" s="8"/>
      <c r="C36" s="8"/>
      <c r="D36" s="8"/>
      <c r="E36" s="8"/>
      <c r="F36" s="8"/>
      <c r="G36" s="8"/>
      <c r="H36" s="8"/>
      <c r="I36" s="8"/>
      <c r="J36" s="8"/>
      <c r="K36" s="8"/>
    </row>
    <row r="37" customFormat="false" ht="15" hidden="false" customHeight="true" outlineLevel="0" collapsed="false">
      <c r="A37" s="24" t="s">
        <v>362</v>
      </c>
      <c r="B37" s="42" t="s">
        <v>350</v>
      </c>
      <c r="C37" s="42" t="s">
        <v>363</v>
      </c>
      <c r="D37" s="42" t="s">
        <v>347</v>
      </c>
      <c r="E37" s="42" t="s">
        <v>364</v>
      </c>
      <c r="F37" s="42" t="s">
        <v>348</v>
      </c>
      <c r="G37" s="42" t="s">
        <v>365</v>
      </c>
      <c r="H37" s="42" t="s">
        <v>349</v>
      </c>
    </row>
    <row r="38" customFormat="false" ht="15" hidden="false" customHeight="true" outlineLevel="0" collapsed="false">
      <c r="A38" s="42" t="s">
        <v>366</v>
      </c>
      <c r="B38" s="64" t="n">
        <v>125</v>
      </c>
      <c r="C38" s="64" t="n">
        <v>100</v>
      </c>
      <c r="D38" s="64" t="n">
        <v>83.33</v>
      </c>
      <c r="E38" s="64" t="n">
        <v>71.43</v>
      </c>
      <c r="F38" s="64" t="n">
        <v>62.5</v>
      </c>
      <c r="G38" s="64" t="n">
        <v>55.56</v>
      </c>
      <c r="H38" s="64" t="n">
        <v>50</v>
      </c>
    </row>
    <row r="39" customFormat="false" ht="15" hidden="false" customHeight="true" outlineLevel="0" collapsed="false">
      <c r="A39" s="42" t="s">
        <v>367</v>
      </c>
      <c r="B39" s="64" t="n">
        <v>137.5</v>
      </c>
      <c r="C39" s="64" t="n">
        <v>110</v>
      </c>
      <c r="D39" s="64" t="n">
        <v>91.67</v>
      </c>
      <c r="E39" s="64" t="n">
        <v>78.57</v>
      </c>
      <c r="F39" s="64" t="n">
        <v>68.75</v>
      </c>
      <c r="G39" s="64" t="n">
        <v>61.11</v>
      </c>
      <c r="H39" s="64" t="n">
        <v>55</v>
      </c>
    </row>
    <row r="40" customFormat="false" ht="15" hidden="false" customHeight="true" outlineLevel="0" collapsed="false">
      <c r="A40" s="42" t="s">
        <v>368</v>
      </c>
      <c r="B40" s="64" t="n">
        <v>150</v>
      </c>
      <c r="C40" s="64" t="n">
        <v>120</v>
      </c>
      <c r="D40" s="64" t="n">
        <v>100</v>
      </c>
      <c r="E40" s="64" t="n">
        <v>85.71</v>
      </c>
      <c r="F40" s="64" t="n">
        <v>75</v>
      </c>
      <c r="G40" s="64" t="n">
        <v>66.67</v>
      </c>
      <c r="H40" s="64" t="n">
        <v>60</v>
      </c>
    </row>
    <row r="41" customFormat="false" ht="15" hidden="false" customHeight="true" outlineLevel="0" collapsed="false">
      <c r="A41" s="42" t="s">
        <v>369</v>
      </c>
      <c r="B41" s="64" t="n">
        <v>162.5</v>
      </c>
      <c r="C41" s="64" t="n">
        <v>130</v>
      </c>
      <c r="D41" s="64" t="n">
        <v>108.33</v>
      </c>
      <c r="E41" s="64" t="n">
        <v>92.86</v>
      </c>
      <c r="F41" s="64" t="n">
        <v>81.25</v>
      </c>
      <c r="G41" s="64" t="n">
        <v>72.22</v>
      </c>
      <c r="H41" s="64" t="n">
        <v>65</v>
      </c>
    </row>
    <row r="42" customFormat="false" ht="15" hidden="false" customHeight="true" outlineLevel="0" collapsed="false">
      <c r="A42" s="42" t="s">
        <v>370</v>
      </c>
      <c r="B42" s="64" t="n">
        <v>175</v>
      </c>
      <c r="C42" s="64" t="n">
        <v>140</v>
      </c>
      <c r="D42" s="64" t="n">
        <v>116.67</v>
      </c>
      <c r="E42" s="64" t="n">
        <v>100</v>
      </c>
      <c r="F42" s="64" t="n">
        <v>87.5</v>
      </c>
      <c r="G42" s="64" t="n">
        <v>77.78</v>
      </c>
      <c r="H42" s="64" t="n">
        <v>70</v>
      </c>
    </row>
    <row r="43" customFormat="false" ht="15" hidden="false" customHeight="true" outlineLevel="0" collapsed="false">
      <c r="A43" s="42" t="s">
        <v>371</v>
      </c>
      <c r="B43" s="64" t="n">
        <v>187.5</v>
      </c>
      <c r="C43" s="64" t="n">
        <v>150</v>
      </c>
      <c r="D43" s="64" t="n">
        <v>125</v>
      </c>
      <c r="E43" s="64" t="n">
        <v>107.14</v>
      </c>
      <c r="F43" s="64" t="n">
        <v>93.75</v>
      </c>
      <c r="G43" s="64" t="n">
        <v>83.33</v>
      </c>
      <c r="H43" s="64" t="n">
        <v>75</v>
      </c>
    </row>
    <row r="44" customFormat="false" ht="15" hidden="false" customHeight="true" outlineLevel="0" collapsed="false">
      <c r="A44" s="42" t="s">
        <v>372</v>
      </c>
      <c r="B44" s="64" t="n">
        <v>200</v>
      </c>
      <c r="C44" s="64" t="n">
        <v>160</v>
      </c>
      <c r="D44" s="64" t="n">
        <v>133.33</v>
      </c>
      <c r="E44" s="64" t="n">
        <v>114.29</v>
      </c>
      <c r="F44" s="64" t="n">
        <v>100</v>
      </c>
      <c r="G44" s="64" t="n">
        <v>88.89</v>
      </c>
      <c r="H44" s="64" t="n">
        <v>80</v>
      </c>
    </row>
    <row r="46" customFormat="false" ht="15.75" hidden="false" customHeight="true" outlineLevel="0" collapsed="false">
      <c r="A46" s="7" t="s">
        <v>373</v>
      </c>
      <c r="B46" s="8"/>
      <c r="C46" s="8"/>
      <c r="D46" s="8"/>
      <c r="E46" s="8"/>
    </row>
    <row r="47" customFormat="false" ht="15" hidden="false" customHeight="true" outlineLevel="0" collapsed="false">
      <c r="A47" s="69" t="s">
        <v>374</v>
      </c>
      <c r="B47" s="69"/>
      <c r="C47" s="69"/>
      <c r="D47" s="69"/>
      <c r="E47" s="69"/>
      <c r="F47" s="69"/>
    </row>
    <row r="48" customFormat="false" ht="15" hidden="false" customHeight="true" outlineLevel="0" collapsed="false">
      <c r="A48" s="70" t="s">
        <v>375</v>
      </c>
      <c r="B48" s="70"/>
      <c r="C48" s="70"/>
      <c r="D48" s="70"/>
      <c r="E48" s="70"/>
      <c r="F48" s="70"/>
    </row>
    <row r="49" customFormat="false" ht="15" hidden="false" customHeight="true" outlineLevel="0" collapsed="false">
      <c r="A49" s="71" t="s">
        <v>376</v>
      </c>
      <c r="B49" s="71"/>
      <c r="C49" s="71"/>
      <c r="D49" s="71"/>
      <c r="E49" s="71"/>
      <c r="F49" s="71"/>
    </row>
  </sheetData>
  <mergeCells count="4">
    <mergeCell ref="A1:K1"/>
    <mergeCell ref="A47:F47"/>
    <mergeCell ref="A48:F48"/>
    <mergeCell ref="A49:F4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2060"/>
    <pageSetUpPr fitToPage="false"/>
  </sheetPr>
  <dimension ref="A1:E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5"/>
    <col collapsed="false" customWidth="true" hidden="false" outlineLevel="0" max="3" min="2" style="1" width="20"/>
    <col collapsed="false" customWidth="true" hidden="false" outlineLevel="0" max="4" min="4" style="1" width="22"/>
    <col collapsed="false" customWidth="true" hidden="false" outlineLevel="0" max="5" min="5" style="1" width="20"/>
  </cols>
  <sheetData>
    <row r="1" customFormat="false" ht="19.5" hidden="false" customHeight="true" outlineLevel="0" collapsed="false">
      <c r="A1" s="2" t="s">
        <v>377</v>
      </c>
      <c r="B1" s="2"/>
      <c r="C1" s="2"/>
      <c r="D1" s="2"/>
      <c r="E1" s="2"/>
    </row>
    <row r="2" customFormat="false" ht="15" hidden="false" customHeight="true" outlineLevel="0" collapsed="false">
      <c r="A2" s="3" t="s">
        <v>378</v>
      </c>
    </row>
    <row r="4" customFormat="false" ht="15.75" hidden="false" customHeight="true" outlineLevel="0" collapsed="false">
      <c r="A4" s="7" t="s">
        <v>379</v>
      </c>
      <c r="B4" s="8"/>
      <c r="C4" s="8"/>
      <c r="D4" s="8"/>
      <c r="E4" s="8"/>
    </row>
    <row r="5" customFormat="false" ht="15" hidden="false" customHeight="true" outlineLevel="0" collapsed="false">
      <c r="A5" s="6" t="s">
        <v>380</v>
      </c>
      <c r="B5" s="72" t="s">
        <v>50</v>
      </c>
    </row>
    <row r="6" customFormat="false" ht="15" hidden="false" customHeight="true" outlineLevel="0" collapsed="false">
      <c r="A6" s="6" t="s">
        <v>381</v>
      </c>
      <c r="B6" s="72" t="s">
        <v>5</v>
      </c>
    </row>
    <row r="7" customFormat="false" ht="15" hidden="false" customHeight="true" outlineLevel="0" collapsed="false">
      <c r="A7" s="6" t="s">
        <v>6</v>
      </c>
      <c r="B7" s="72" t="s">
        <v>7</v>
      </c>
    </row>
    <row r="8" customFormat="false" ht="15" hidden="false" customHeight="true" outlineLevel="0" collapsed="false">
      <c r="A8" s="6" t="s">
        <v>382</v>
      </c>
      <c r="B8" s="73" t="n">
        <f aca="false">Assumptions!$B$40</f>
        <v>39.5</v>
      </c>
    </row>
    <row r="9" customFormat="false" ht="15" hidden="false" customHeight="true" outlineLevel="0" collapsed="false">
      <c r="A9" s="6" t="s">
        <v>383</v>
      </c>
      <c r="B9" s="72" t="s">
        <v>384</v>
      </c>
    </row>
    <row r="10" customFormat="false" ht="15" hidden="false" customHeight="true" outlineLevel="0" collapsed="false">
      <c r="A10" s="6" t="s">
        <v>385</v>
      </c>
      <c r="B10" s="72" t="s">
        <v>386</v>
      </c>
    </row>
    <row r="12" customFormat="false" ht="15.75" hidden="false" customHeight="true" outlineLevel="0" collapsed="false">
      <c r="A12" s="7" t="s">
        <v>250</v>
      </c>
      <c r="B12" s="8"/>
      <c r="C12" s="8"/>
      <c r="D12" s="8"/>
      <c r="E12" s="8"/>
    </row>
    <row r="13" customFormat="false" ht="15.75" hidden="false" customHeight="true" outlineLevel="0" collapsed="false">
      <c r="A13" s="24" t="s">
        <v>387</v>
      </c>
      <c r="B13" s="42" t="s">
        <v>388</v>
      </c>
      <c r="C13" s="42" t="s">
        <v>389</v>
      </c>
      <c r="D13" s="42" t="s">
        <v>390</v>
      </c>
      <c r="E13" s="42" t="s">
        <v>391</v>
      </c>
    </row>
    <row r="14" customFormat="false" ht="15" hidden="false" customHeight="true" outlineLevel="0" collapsed="false">
      <c r="A14" s="44" t="s">
        <v>392</v>
      </c>
      <c r="B14" s="48" t="n">
        <f aca="false">'DCF Valuation'!B28</f>
        <v>100.626070033032</v>
      </c>
      <c r="C14" s="74" t="n">
        <f aca="false">Assumptions!$B$40</f>
        <v>39.5</v>
      </c>
      <c r="D14" s="49" t="n">
        <f aca="false">(B14-C14)/C14</f>
        <v>1.54749544387424</v>
      </c>
      <c r="E14" s="75" t="n">
        <v>0.4</v>
      </c>
    </row>
    <row r="15" customFormat="false" ht="15" hidden="false" customHeight="true" outlineLevel="0" collapsed="false">
      <c r="A15" s="27" t="s">
        <v>393</v>
      </c>
      <c r="B15" s="52" t="n">
        <f aca="false">'Multiples Valuation'!E21</f>
        <v>113.593921526853</v>
      </c>
      <c r="C15" s="76" t="n">
        <f aca="false">Assumptions!$B$40</f>
        <v>39.5</v>
      </c>
      <c r="D15" s="23" t="n">
        <f aca="false">(B15-C15)/C15</f>
        <v>1.87579548169249</v>
      </c>
      <c r="E15" s="77" t="n">
        <v>0.2</v>
      </c>
    </row>
    <row r="16" customFormat="false" ht="15" hidden="false" customHeight="true" outlineLevel="0" collapsed="false">
      <c r="A16" s="44" t="s">
        <v>394</v>
      </c>
      <c r="B16" s="48" t="n">
        <f aca="false">'Multiples Valuation'!E22</f>
        <v>139.005814541733</v>
      </c>
      <c r="C16" s="74" t="n">
        <f aca="false">Assumptions!$B$40</f>
        <v>39.5</v>
      </c>
      <c r="D16" s="49" t="n">
        <f aca="false">(B16-C16)/C16</f>
        <v>2.51913454536034</v>
      </c>
      <c r="E16" s="75" t="n">
        <v>0.2</v>
      </c>
    </row>
    <row r="17" customFormat="false" ht="15" hidden="false" customHeight="true" outlineLevel="0" collapsed="false">
      <c r="A17" s="27" t="s">
        <v>395</v>
      </c>
      <c r="B17" s="52" t="n">
        <f aca="false">'Multiples Valuation'!E23</f>
        <v>-0.0211335954243927</v>
      </c>
      <c r="C17" s="76" t="n">
        <f aca="false">Assumptions!$B$40</f>
        <v>39.5</v>
      </c>
      <c r="D17" s="23" t="n">
        <f aca="false">(B17-C17)/C17</f>
        <v>-1.00053502773226</v>
      </c>
      <c r="E17" s="77" t="n">
        <v>0.1</v>
      </c>
    </row>
    <row r="18" customFormat="false" ht="15" hidden="false" customHeight="true" outlineLevel="0" collapsed="false">
      <c r="A18" s="44" t="s">
        <v>292</v>
      </c>
      <c r="B18" s="48" t="n">
        <f aca="false">'Multiples Valuation'!E25</f>
        <v>129.090909090909</v>
      </c>
      <c r="C18" s="74" t="n">
        <f aca="false">Assumptions!$B$40</f>
        <v>39.5</v>
      </c>
      <c r="D18" s="49" t="n">
        <f aca="false">(B18-C18)/C18</f>
        <v>2.26812428078251</v>
      </c>
      <c r="E18" s="75" t="n">
        <v>0.1</v>
      </c>
    </row>
    <row r="19" customFormat="false" ht="19.5" hidden="false" customHeight="true" outlineLevel="0" collapsed="false">
      <c r="A19" s="78" t="s">
        <v>396</v>
      </c>
      <c r="B19" s="79" t="n">
        <f aca="false">SUMPRODUCT(B14:B18,E14:E18)/SUM(E14:E18)</f>
        <v>103.677352776479</v>
      </c>
      <c r="C19" s="80"/>
      <c r="D19" s="81" t="n">
        <f aca="false">(B19-Assumptions!$B$40)/Assumptions!$B$40</f>
        <v>1.62474310826529</v>
      </c>
      <c r="E19" s="80"/>
    </row>
    <row r="21" customFormat="false" ht="15.75" hidden="false" customHeight="true" outlineLevel="0" collapsed="false">
      <c r="A21" s="7" t="s">
        <v>397</v>
      </c>
      <c r="B21" s="8"/>
      <c r="C21" s="8"/>
      <c r="D21" s="8"/>
      <c r="E21" s="8"/>
    </row>
    <row r="22" customFormat="false" ht="15" hidden="false" customHeight="true" outlineLevel="0" collapsed="false">
      <c r="A22" s="44" t="s">
        <v>398</v>
      </c>
      <c r="B22" s="82" t="n">
        <f aca="false">57712/1000</f>
        <v>57.712</v>
      </c>
      <c r="C22" s="83"/>
      <c r="D22" s="83"/>
      <c r="E22" s="83"/>
    </row>
    <row r="23" customFormat="false" ht="15" hidden="false" customHeight="true" outlineLevel="0" collapsed="false">
      <c r="A23" s="27" t="s">
        <v>399</v>
      </c>
      <c r="B23" s="84" t="n">
        <f aca="false">'Income Statement'!C33/1000000</f>
        <v>23.393518</v>
      </c>
    </row>
    <row r="24" customFormat="false" ht="15" hidden="false" customHeight="true" outlineLevel="0" collapsed="false">
      <c r="A24" s="44" t="s">
        <v>400</v>
      </c>
      <c r="B24" s="85" t="n">
        <f aca="false">'Balance Sheet'!C15/1000000</f>
        <v>13.37131</v>
      </c>
      <c r="C24" s="83"/>
      <c r="D24" s="83"/>
      <c r="E24" s="83"/>
    </row>
    <row r="25" customFormat="false" ht="15" hidden="false" customHeight="true" outlineLevel="0" collapsed="false">
      <c r="A25" s="27" t="s">
        <v>401</v>
      </c>
      <c r="B25" s="84" t="n">
        <f aca="false">'Balance Sheet'!C19/1000000</f>
        <v>531.866221</v>
      </c>
    </row>
    <row r="26" customFormat="false" ht="15" hidden="false" customHeight="true" outlineLevel="0" collapsed="false">
      <c r="A26" s="44" t="s">
        <v>402</v>
      </c>
      <c r="B26" s="85" t="n">
        <f aca="false">'Balance Sheet'!C11/1000000</f>
        <v>306.917975</v>
      </c>
      <c r="C26" s="83"/>
      <c r="D26" s="83"/>
      <c r="E26" s="83"/>
    </row>
    <row r="27" customFormat="false" ht="15" hidden="false" customHeight="true" outlineLevel="0" collapsed="false">
      <c r="A27" s="27" t="s">
        <v>272</v>
      </c>
      <c r="B27" s="52" t="n">
        <f aca="false">14.2</f>
        <v>14.2</v>
      </c>
    </row>
    <row r="28" customFormat="false" ht="15" hidden="false" customHeight="true" outlineLevel="0" collapsed="false">
      <c r="A28" s="44" t="s">
        <v>403</v>
      </c>
      <c r="B28" s="48" t="n">
        <f aca="false">7.1</f>
        <v>7.1</v>
      </c>
      <c r="C28" s="83"/>
      <c r="D28" s="83"/>
      <c r="E28" s="83"/>
    </row>
    <row r="29" customFormat="false" ht="15" hidden="false" customHeight="true" outlineLevel="0" collapsed="false">
      <c r="A29" s="27" t="s">
        <v>404</v>
      </c>
      <c r="B29" s="23" t="n">
        <f aca="false">0.1971</f>
        <v>0.1971</v>
      </c>
    </row>
    <row r="30" customFormat="false" ht="15" hidden="false" customHeight="true" outlineLevel="0" collapsed="false">
      <c r="A30" s="44" t="s">
        <v>405</v>
      </c>
      <c r="B30" s="49" t="n">
        <f aca="false">0.0327</f>
        <v>0.0327</v>
      </c>
      <c r="C30" s="83"/>
      <c r="D30" s="83"/>
      <c r="E30" s="83"/>
    </row>
    <row r="31" customFormat="false" ht="15" hidden="false" customHeight="true" outlineLevel="0" collapsed="false">
      <c r="A31" s="27" t="s">
        <v>406</v>
      </c>
      <c r="B31" s="23" t="n">
        <f aca="false">0.517</f>
        <v>0.517</v>
      </c>
    </row>
    <row r="32" customFormat="false" ht="15" hidden="false" customHeight="true" outlineLevel="0" collapsed="false">
      <c r="A32" s="44" t="s">
        <v>407</v>
      </c>
      <c r="B32" s="49" t="n">
        <f aca="false">0.087</f>
        <v>0.087</v>
      </c>
      <c r="C32" s="83"/>
      <c r="D32" s="83"/>
      <c r="E32" s="83"/>
    </row>
    <row r="33" customFormat="false" ht="15" hidden="false" customHeight="true" outlineLevel="0" collapsed="false">
      <c r="A33" s="27" t="s">
        <v>408</v>
      </c>
      <c r="B33" s="86" t="n">
        <f aca="false">7.1/Assumptions!$B$40</f>
        <v>0.179746835443038</v>
      </c>
    </row>
    <row r="35" customFormat="false" ht="15.75" hidden="false" customHeight="true" outlineLevel="0" collapsed="false">
      <c r="A35" s="7" t="s">
        <v>409</v>
      </c>
      <c r="B35" s="8"/>
      <c r="C35" s="8"/>
      <c r="D35" s="8"/>
      <c r="E35" s="8"/>
    </row>
    <row r="36" customFormat="false" ht="21.75" hidden="false" customHeight="true" outlineLevel="0" collapsed="false">
      <c r="A36" s="87" t="s">
        <v>410</v>
      </c>
      <c r="B36" s="88" t="str">
        <f aca="false">IF((B19-Assumptions!$B$40)/Assumptions!$B$40&gt;0.2,"STRONG BUY",IF((B19-Assumptions!$B$40)/Assumptions!$B$40&gt;0.1,"BUY",IF((B19-Assumptions!$B$40)/Assumptions!$B$40&gt;0,"HOLD",IF((B19-Assumptions!$B$40)/Assumptions!$B$40&gt;-0.1,"UNDERPERFORM","SELL"))))</f>
        <v>STRONG BUY</v>
      </c>
    </row>
    <row r="37" customFormat="false" ht="15" hidden="false" customHeight="true" outlineLevel="0" collapsed="false">
      <c r="A37" s="87" t="s">
        <v>411</v>
      </c>
      <c r="B37" s="89" t="n">
        <f aca="false">B19</f>
        <v>103.677352776479</v>
      </c>
    </row>
    <row r="38" customFormat="false" ht="15" hidden="false" customHeight="true" outlineLevel="0" collapsed="false">
      <c r="A38" s="87" t="s">
        <v>412</v>
      </c>
      <c r="B38" s="90" t="n">
        <f aca="false">(B19-Assumptions!$B$40)/Assumptions!$B$40</f>
        <v>1.62474310826529</v>
      </c>
    </row>
    <row r="40" customFormat="false" ht="15.75" hidden="false" customHeight="true" outlineLevel="0" collapsed="false">
      <c r="A40" s="7" t="s">
        <v>413</v>
      </c>
      <c r="B40" s="8"/>
      <c r="C40" s="8"/>
      <c r="D40" s="8"/>
      <c r="E40" s="8"/>
    </row>
    <row r="41" customFormat="false" ht="15" hidden="false" customHeight="true" outlineLevel="0" collapsed="false">
      <c r="A41" s="4" t="s">
        <v>414</v>
      </c>
      <c r="C41" s="4" t="s">
        <v>415</v>
      </c>
    </row>
    <row r="42" customFormat="false" ht="21.75" hidden="false" customHeight="true" outlineLevel="0" collapsed="false">
      <c r="A42" s="91" t="s">
        <v>416</v>
      </c>
      <c r="B42" s="91"/>
      <c r="C42" s="92" t="s">
        <v>417</v>
      </c>
      <c r="D42" s="92"/>
      <c r="E42" s="92"/>
    </row>
    <row r="43" customFormat="false" ht="21.75" hidden="false" customHeight="true" outlineLevel="0" collapsed="false">
      <c r="A43" s="91" t="s">
        <v>418</v>
      </c>
      <c r="B43" s="91"/>
      <c r="C43" s="92" t="s">
        <v>419</v>
      </c>
      <c r="D43" s="92"/>
      <c r="E43" s="92"/>
    </row>
    <row r="44" customFormat="false" ht="21.75" hidden="false" customHeight="true" outlineLevel="0" collapsed="false">
      <c r="A44" s="91" t="s">
        <v>420</v>
      </c>
      <c r="B44" s="91"/>
      <c r="C44" s="92" t="s">
        <v>421</v>
      </c>
      <c r="D44" s="92"/>
      <c r="E44" s="92"/>
    </row>
    <row r="45" customFormat="false" ht="21.75" hidden="false" customHeight="true" outlineLevel="0" collapsed="false">
      <c r="A45" s="91" t="s">
        <v>422</v>
      </c>
      <c r="B45" s="91"/>
      <c r="C45" s="92" t="s">
        <v>423</v>
      </c>
      <c r="D45" s="92"/>
      <c r="E45" s="92"/>
    </row>
    <row r="46" customFormat="false" ht="21.75" hidden="false" customHeight="true" outlineLevel="0" collapsed="false">
      <c r="A46" s="91" t="s">
        <v>424</v>
      </c>
      <c r="B46" s="91"/>
      <c r="C46" s="92" t="s">
        <v>425</v>
      </c>
      <c r="D46" s="92"/>
      <c r="E46" s="92"/>
    </row>
    <row r="47" customFormat="false" ht="21.75" hidden="false" customHeight="true" outlineLevel="0" collapsed="false">
      <c r="A47" s="91" t="s">
        <v>426</v>
      </c>
      <c r="B47" s="91"/>
      <c r="C47" s="92" t="s">
        <v>427</v>
      </c>
      <c r="D47" s="92"/>
      <c r="E47" s="92"/>
    </row>
    <row r="48" customFormat="false" ht="21.75" hidden="false" customHeight="true" outlineLevel="0" collapsed="false">
      <c r="A48" s="91" t="s">
        <v>428</v>
      </c>
      <c r="B48" s="91"/>
    </row>
    <row r="50" customFormat="false" ht="15.75" hidden="false" customHeight="true" outlineLevel="0" collapsed="false">
      <c r="A50" s="7" t="s">
        <v>429</v>
      </c>
      <c r="B50" s="8"/>
      <c r="C50" s="8"/>
      <c r="D50" s="8"/>
      <c r="E50" s="8"/>
    </row>
    <row r="51" customFormat="false" ht="13.5" hidden="false" customHeight="true" outlineLevel="0" collapsed="false">
      <c r="A51" s="4" t="s">
        <v>430</v>
      </c>
      <c r="B51" s="6" t="s">
        <v>431</v>
      </c>
    </row>
    <row r="52" customFormat="false" ht="13.5" hidden="false" customHeight="true" outlineLevel="0" collapsed="false">
      <c r="A52" s="4" t="s">
        <v>432</v>
      </c>
      <c r="B52" s="6" t="s">
        <v>433</v>
      </c>
    </row>
    <row r="53" customFormat="false" ht="13.5" hidden="false" customHeight="true" outlineLevel="0" collapsed="false">
      <c r="A53" s="4" t="s">
        <v>434</v>
      </c>
      <c r="B53" s="6" t="s">
        <v>435</v>
      </c>
    </row>
    <row r="54" customFormat="false" ht="13.5" hidden="false" customHeight="true" outlineLevel="0" collapsed="false">
      <c r="A54" s="4" t="s">
        <v>436</v>
      </c>
      <c r="B54" s="6" t="s">
        <v>437</v>
      </c>
    </row>
    <row r="55" customFormat="false" ht="13.5" hidden="false" customHeight="true" outlineLevel="0" collapsed="false">
      <c r="A55" s="4" t="s">
        <v>438</v>
      </c>
      <c r="B55" s="6" t="s">
        <v>439</v>
      </c>
    </row>
  </sheetData>
  <mergeCells count="14">
    <mergeCell ref="A1:E1"/>
    <mergeCell ref="A42:B42"/>
    <mergeCell ref="C42:E42"/>
    <mergeCell ref="A43:B43"/>
    <mergeCell ref="C43:E43"/>
    <mergeCell ref="A44:B44"/>
    <mergeCell ref="C44:E44"/>
    <mergeCell ref="A45:B45"/>
    <mergeCell ref="C45:E45"/>
    <mergeCell ref="A46:B46"/>
    <mergeCell ref="C46:E46"/>
    <mergeCell ref="A47:B47"/>
    <mergeCell ref="C47:E47"/>
    <mergeCell ref="A48:B4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2026-05-25T07:02:14Z</dcterms:created>
  <dc:creator>openpyxl</dc:creator>
  <dc:description/>
  <dc:language>en-US</dc:language>
  <cp:lastModifiedBy/>
  <dcterms:modified xsi:type="dcterms:W3CDTF">2026-05-25T07:02:28Z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